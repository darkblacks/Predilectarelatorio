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ltsaulo.silva\Documents\Aproveitamento da Frota\"/>
    </mc:Choice>
  </mc:AlternateContent>
  <xr:revisionPtr revIDLastSave="0" documentId="13_ncr:1_{C5D8E832-13BD-4B74-AD68-90CEE26576A8}" xr6:coauthVersionLast="47" xr6:coauthVersionMax="47" xr10:uidLastSave="{00000000-0000-0000-0000-000000000000}"/>
  <bookViews>
    <workbookView xWindow="28680" yWindow="-120" windowWidth="20730" windowHeight="11040" activeTab="3" xr2:uid="{8392DC8A-9EBA-41C7-BA3C-17FD718C73E9}"/>
  </bookViews>
  <sheets>
    <sheet name="PREDILECTA" sheetId="1" r:id="rId1"/>
    <sheet name="Carreg Julho_26" sheetId="5" r:id="rId2"/>
    <sheet name="SALSARETTI" sheetId="2" r:id="rId3"/>
    <sheet name="Analise" sheetId="3" r:id="rId4"/>
    <sheet name="Comparativo Jun x Jul" sheetId="4" r:id="rId5"/>
  </sheets>
  <definedNames>
    <definedName name="_xlnm.Print_Area" localSheetId="1">'Carreg Julho_26'!$B$2:$AM$50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9" i="3" l="1"/>
  <c r="F40" i="3"/>
  <c r="I34" i="3"/>
  <c r="E40" i="3"/>
  <c r="D40" i="3"/>
  <c r="C40" i="3"/>
  <c r="C37" i="3"/>
  <c r="M40" i="3"/>
  <c r="L40" i="3"/>
  <c r="K40" i="3"/>
  <c r="J40" i="3"/>
  <c r="I40" i="3"/>
  <c r="H40" i="3"/>
  <c r="G40" i="3"/>
  <c r="K33" i="3"/>
  <c r="I33" i="3"/>
  <c r="E33" i="3"/>
  <c r="C33" i="3"/>
  <c r="M32" i="3"/>
  <c r="M31" i="3"/>
  <c r="M30" i="3"/>
  <c r="D30" i="3" s="1"/>
  <c r="M29" i="3"/>
  <c r="M28" i="3"/>
  <c r="J28" i="3"/>
  <c r="H28" i="3"/>
  <c r="F28" i="3"/>
  <c r="M27" i="3"/>
  <c r="F27" i="3" s="1"/>
  <c r="M26" i="3"/>
  <c r="D26" i="3" s="1"/>
  <c r="H26" i="3"/>
  <c r="F26" i="3"/>
  <c r="AG36" i="5"/>
  <c r="AG22" i="5"/>
  <c r="AG8" i="5"/>
  <c r="AG29" i="5"/>
  <c r="AG46" i="5"/>
  <c r="AG47" i="5"/>
  <c r="AG48" i="5"/>
  <c r="AG49" i="5"/>
  <c r="AG15" i="5"/>
  <c r="AG50" i="5" s="1"/>
  <c r="Z43" i="5"/>
  <c r="AG43" i="5"/>
  <c r="AF36" i="5"/>
  <c r="AE46" i="5"/>
  <c r="AF46" i="5"/>
  <c r="AE47" i="5"/>
  <c r="AF47" i="5"/>
  <c r="AE48" i="5"/>
  <c r="AF48" i="5"/>
  <c r="AE49" i="5"/>
  <c r="AF49" i="5"/>
  <c r="AE50" i="5"/>
  <c r="AF50" i="5"/>
  <c r="AF22" i="5"/>
  <c r="AF43" i="5"/>
  <c r="AF29" i="5"/>
  <c r="AF15" i="5"/>
  <c r="AF8" i="5"/>
  <c r="AH4" i="5"/>
  <c r="AJ4" i="5" s="1"/>
  <c r="AO4" i="5" s="1"/>
  <c r="AC78" i="5"/>
  <c r="AC83" i="5" s="1"/>
  <c r="AC84" i="5" s="1"/>
  <c r="AD78" i="5"/>
  <c r="AE78" i="5"/>
  <c r="AF78" i="5"/>
  <c r="AC79" i="5"/>
  <c r="AD79" i="5"/>
  <c r="AE79" i="5"/>
  <c r="AF79" i="5"/>
  <c r="AC80" i="5"/>
  <c r="AD80" i="5"/>
  <c r="AE80" i="5"/>
  <c r="AF80" i="5"/>
  <c r="AC81" i="5"/>
  <c r="AD81" i="5"/>
  <c r="AE81" i="5"/>
  <c r="AF81" i="5"/>
  <c r="AC82" i="5"/>
  <c r="AD82" i="5"/>
  <c r="AE82" i="5"/>
  <c r="AF82" i="5"/>
  <c r="AF83" i="5" s="1"/>
  <c r="AF84" i="5" s="1"/>
  <c r="AF85" i="5" s="1"/>
  <c r="AD83" i="5"/>
  <c r="AE83" i="5"/>
  <c r="AD84" i="5"/>
  <c r="AE84" i="5"/>
  <c r="AE43" i="5"/>
  <c r="AE36" i="5"/>
  <c r="AE29" i="5"/>
  <c r="AE22" i="5"/>
  <c r="AE15" i="5"/>
  <c r="AE8" i="5"/>
  <c r="AD46" i="5"/>
  <c r="AD47" i="5"/>
  <c r="AD48" i="5"/>
  <c r="AD49" i="5"/>
  <c r="AD36" i="5"/>
  <c r="AD43" i="5"/>
  <c r="AD15" i="5"/>
  <c r="AD50" i="5" s="1"/>
  <c r="AD29" i="5"/>
  <c r="AD22" i="5"/>
  <c r="AD8" i="5"/>
  <c r="W78" i="5"/>
  <c r="X78" i="5"/>
  <c r="Y78" i="5"/>
  <c r="Z78" i="5"/>
  <c r="AA78" i="5"/>
  <c r="AB78" i="5"/>
  <c r="W79" i="5"/>
  <c r="X79" i="5"/>
  <c r="Y79" i="5"/>
  <c r="Z79" i="5"/>
  <c r="AA79" i="5"/>
  <c r="AB79" i="5"/>
  <c r="W80" i="5"/>
  <c r="X80" i="5"/>
  <c r="Y80" i="5"/>
  <c r="Z80" i="5"/>
  <c r="AA80" i="5"/>
  <c r="AB80" i="5"/>
  <c r="W81" i="5"/>
  <c r="X81" i="5"/>
  <c r="Y81" i="5"/>
  <c r="Z81" i="5"/>
  <c r="AA81" i="5"/>
  <c r="AB81" i="5"/>
  <c r="W82" i="5"/>
  <c r="X82" i="5"/>
  <c r="Y82" i="5"/>
  <c r="Z82" i="5"/>
  <c r="AA82" i="5"/>
  <c r="AB82" i="5"/>
  <c r="X83" i="5"/>
  <c r="Y83" i="5"/>
  <c r="Z83" i="5"/>
  <c r="AA83" i="5"/>
  <c r="AB83" i="5"/>
  <c r="AH5" i="5"/>
  <c r="AH35" i="5"/>
  <c r="AH34" i="5"/>
  <c r="AH33" i="5"/>
  <c r="AH32" i="5"/>
  <c r="AC36" i="5"/>
  <c r="AC43" i="5"/>
  <c r="AC29" i="5"/>
  <c r="AB23" i="5"/>
  <c r="U23" i="5"/>
  <c r="N23" i="5"/>
  <c r="G23" i="5"/>
  <c r="AB16" i="5"/>
  <c r="U16" i="5"/>
  <c r="N16" i="5"/>
  <c r="G16" i="5"/>
  <c r="AC15" i="5"/>
  <c r="AC22" i="5"/>
  <c r="AB9" i="5"/>
  <c r="U9" i="5"/>
  <c r="N9" i="5"/>
  <c r="G9" i="5"/>
  <c r="AC8" i="5"/>
  <c r="AF6" i="1"/>
  <c r="AF5" i="1"/>
  <c r="AF4" i="1"/>
  <c r="AF3" i="1"/>
  <c r="AB74" i="5"/>
  <c r="AB76" i="5" s="1"/>
  <c r="AA74" i="5"/>
  <c r="E74" i="5"/>
  <c r="E76" i="5" s="1"/>
  <c r="F74" i="5"/>
  <c r="F76" i="5" s="1"/>
  <c r="G74" i="5"/>
  <c r="G76" i="5" s="1"/>
  <c r="H74" i="5"/>
  <c r="H76" i="5" s="1"/>
  <c r="I74" i="5"/>
  <c r="I76" i="5" s="1"/>
  <c r="J74" i="5"/>
  <c r="J76" i="5" s="1"/>
  <c r="K74" i="5"/>
  <c r="K76" i="5" s="1"/>
  <c r="L74" i="5"/>
  <c r="L76" i="5" s="1"/>
  <c r="M74" i="5"/>
  <c r="M76" i="5" s="1"/>
  <c r="N74" i="5"/>
  <c r="N76" i="5" s="1"/>
  <c r="O74" i="5"/>
  <c r="O76" i="5" s="1"/>
  <c r="P74" i="5"/>
  <c r="P76" i="5" s="1"/>
  <c r="Q74" i="5"/>
  <c r="Q76" i="5" s="1"/>
  <c r="R74" i="5"/>
  <c r="R76" i="5" s="1"/>
  <c r="S74" i="5"/>
  <c r="S76" i="5" s="1"/>
  <c r="T74" i="5"/>
  <c r="T76" i="5" s="1"/>
  <c r="U74" i="5"/>
  <c r="U76" i="5" s="1"/>
  <c r="V74" i="5"/>
  <c r="V76" i="5" s="1"/>
  <c r="W74" i="5"/>
  <c r="W76" i="5" s="1"/>
  <c r="X74" i="5"/>
  <c r="Y74" i="5"/>
  <c r="Z74" i="5"/>
  <c r="AC74" i="5"/>
  <c r="AD74" i="5"/>
  <c r="AE74" i="5"/>
  <c r="AF74" i="5"/>
  <c r="AG74" i="5"/>
  <c r="AH74" i="5"/>
  <c r="D74" i="5"/>
  <c r="AA36" i="5"/>
  <c r="AH11" i="5"/>
  <c r="AJ11" i="5" s="1"/>
  <c r="AA43" i="5"/>
  <c r="AH26" i="5"/>
  <c r="AH25" i="5"/>
  <c r="AJ25" i="5" s="1"/>
  <c r="AA29" i="5"/>
  <c r="AA15" i="5"/>
  <c r="AA8" i="5"/>
  <c r="AA22" i="5"/>
  <c r="Z29" i="5"/>
  <c r="Z22" i="5"/>
  <c r="Z36" i="5"/>
  <c r="Z15" i="5"/>
  <c r="Z8" i="5"/>
  <c r="Y43" i="5"/>
  <c r="Y46" i="5"/>
  <c r="Y47" i="5"/>
  <c r="Y48" i="5"/>
  <c r="Y49" i="5"/>
  <c r="Y22" i="5"/>
  <c r="Y36" i="5"/>
  <c r="Y29" i="5"/>
  <c r="Y15" i="5"/>
  <c r="Y50" i="5" s="1"/>
  <c r="Y8" i="5"/>
  <c r="V95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H42" i="5"/>
  <c r="AH41" i="5"/>
  <c r="AH40" i="5"/>
  <c r="AH39" i="5"/>
  <c r="X36" i="5"/>
  <c r="X22" i="5"/>
  <c r="X29" i="5"/>
  <c r="X15" i="5"/>
  <c r="X8" i="5"/>
  <c r="W36" i="5"/>
  <c r="W29" i="5"/>
  <c r="W22" i="5"/>
  <c r="W15" i="5"/>
  <c r="W8" i="5"/>
  <c r="AL32" i="5"/>
  <c r="AL25" i="5"/>
  <c r="AL18" i="5"/>
  <c r="AL11" i="5"/>
  <c r="V48" i="5"/>
  <c r="V47" i="5"/>
  <c r="V46" i="5"/>
  <c r="V79" i="5"/>
  <c r="V78" i="5"/>
  <c r="V82" i="5"/>
  <c r="V81" i="5"/>
  <c r="V80" i="5"/>
  <c r="V49" i="5"/>
  <c r="S46" i="5"/>
  <c r="V29" i="5"/>
  <c r="V22" i="5"/>
  <c r="V15" i="5"/>
  <c r="U49" i="5"/>
  <c r="T49" i="5"/>
  <c r="U48" i="5"/>
  <c r="T48" i="5"/>
  <c r="U47" i="5"/>
  <c r="T47" i="5"/>
  <c r="U46" i="5"/>
  <c r="T46" i="5"/>
  <c r="S49" i="5"/>
  <c r="R49" i="5"/>
  <c r="Q49" i="5"/>
  <c r="P49" i="5"/>
  <c r="O49" i="5"/>
  <c r="S48" i="5"/>
  <c r="R48" i="5"/>
  <c r="Q48" i="5"/>
  <c r="P48" i="5"/>
  <c r="O48" i="5"/>
  <c r="S47" i="5"/>
  <c r="R47" i="5"/>
  <c r="Q47" i="5"/>
  <c r="P47" i="5"/>
  <c r="O47" i="5"/>
  <c r="R46" i="5"/>
  <c r="Q46" i="5"/>
  <c r="P46" i="5"/>
  <c r="O46" i="5"/>
  <c r="N49" i="5"/>
  <c r="M49" i="5"/>
  <c r="N48" i="5"/>
  <c r="M48" i="5"/>
  <c r="N47" i="5"/>
  <c r="M47" i="5"/>
  <c r="N46" i="5"/>
  <c r="M46" i="5"/>
  <c r="I46" i="5"/>
  <c r="J46" i="5"/>
  <c r="K46" i="5"/>
  <c r="L46" i="5"/>
  <c r="I47" i="5"/>
  <c r="J47" i="5"/>
  <c r="K47" i="5"/>
  <c r="L47" i="5"/>
  <c r="I48" i="5"/>
  <c r="J48" i="5"/>
  <c r="K48" i="5"/>
  <c r="L48" i="5"/>
  <c r="I49" i="5"/>
  <c r="J49" i="5"/>
  <c r="K49" i="5"/>
  <c r="L49" i="5"/>
  <c r="H49" i="5"/>
  <c r="H48" i="5"/>
  <c r="H47" i="5"/>
  <c r="H46" i="5"/>
  <c r="G46" i="5"/>
  <c r="G47" i="5"/>
  <c r="G48" i="5"/>
  <c r="G49" i="5"/>
  <c r="F47" i="5"/>
  <c r="F48" i="5"/>
  <c r="F49" i="5"/>
  <c r="F46" i="5"/>
  <c r="D46" i="5"/>
  <c r="E46" i="5"/>
  <c r="D47" i="5"/>
  <c r="E47" i="5"/>
  <c r="D48" i="5"/>
  <c r="E48" i="5"/>
  <c r="D49" i="5"/>
  <c r="E49" i="5"/>
  <c r="C47" i="5"/>
  <c r="C48" i="5"/>
  <c r="C49" i="5"/>
  <c r="C46" i="5"/>
  <c r="B6" i="2"/>
  <c r="AH75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C82" i="5"/>
  <c r="C81" i="5"/>
  <c r="C80" i="5"/>
  <c r="C79" i="5"/>
  <c r="C78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C75" i="5"/>
  <c r="C74" i="5"/>
  <c r="U29" i="5"/>
  <c r="T22" i="5"/>
  <c r="T29" i="5"/>
  <c r="S29" i="5"/>
  <c r="S22" i="5"/>
  <c r="W6" i="4"/>
  <c r="V6" i="4"/>
  <c r="W7" i="4"/>
  <c r="V7" i="4"/>
  <c r="U9" i="4"/>
  <c r="U8" i="4"/>
  <c r="U3" i="4"/>
  <c r="U2" i="4"/>
  <c r="T6" i="4"/>
  <c r="T12" i="4"/>
  <c r="S12" i="4"/>
  <c r="AH6" i="5"/>
  <c r="AH7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T8" i="4"/>
  <c r="T9" i="4"/>
  <c r="T3" i="4"/>
  <c r="T2" i="4"/>
  <c r="S9" i="4"/>
  <c r="S10" i="4"/>
  <c r="S11" i="4"/>
  <c r="S8" i="4"/>
  <c r="S3" i="4"/>
  <c r="S4" i="4"/>
  <c r="S5" i="4"/>
  <c r="S6" i="4"/>
  <c r="S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B6" i="4"/>
  <c r="T8" i="5"/>
  <c r="U8" i="5"/>
  <c r="V8" i="5"/>
  <c r="W46" i="5"/>
  <c r="X46" i="5"/>
  <c r="Z46" i="5"/>
  <c r="AA46" i="5"/>
  <c r="AB46" i="5"/>
  <c r="AC46" i="5"/>
  <c r="W47" i="5"/>
  <c r="X47" i="5"/>
  <c r="Z47" i="5"/>
  <c r="AA47" i="5"/>
  <c r="AB47" i="5"/>
  <c r="AC47" i="5"/>
  <c r="W48" i="5"/>
  <c r="X48" i="5"/>
  <c r="Z48" i="5"/>
  <c r="AA48" i="5"/>
  <c r="AB48" i="5"/>
  <c r="AC48" i="5"/>
  <c r="AJ48" i="5"/>
  <c r="W49" i="5"/>
  <c r="X49" i="5"/>
  <c r="Z49" i="5"/>
  <c r="AA49" i="5"/>
  <c r="AB49" i="5"/>
  <c r="AC49" i="5"/>
  <c r="AJ49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C36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AH28" i="5"/>
  <c r="AH27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C22" i="5"/>
  <c r="AH21" i="5"/>
  <c r="AH20" i="5"/>
  <c r="AH19" i="5"/>
  <c r="AH18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AB50" i="5"/>
  <c r="C15" i="5"/>
  <c r="AH12" i="5"/>
  <c r="AH13" i="5"/>
  <c r="AH14" i="5"/>
  <c r="K22" i="3"/>
  <c r="I22" i="3"/>
  <c r="E22" i="3"/>
  <c r="C22" i="3"/>
  <c r="M21" i="3"/>
  <c r="G21" i="3"/>
  <c r="H21" i="3" s="1"/>
  <c r="F21" i="3"/>
  <c r="D21" i="3"/>
  <c r="M20" i="3"/>
  <c r="L20" i="3"/>
  <c r="J20" i="3"/>
  <c r="G20" i="3"/>
  <c r="H20" i="3" s="1"/>
  <c r="F20" i="3"/>
  <c r="D20" i="3"/>
  <c r="M19" i="3"/>
  <c r="G19" i="3"/>
  <c r="M18" i="3"/>
  <c r="G18" i="3"/>
  <c r="H18" i="3" s="1"/>
  <c r="F18" i="3"/>
  <c r="D18" i="3"/>
  <c r="M17" i="3"/>
  <c r="G17" i="3"/>
  <c r="M16" i="3"/>
  <c r="F16" i="3" s="1"/>
  <c r="G16" i="3"/>
  <c r="D16" i="3"/>
  <c r="M15" i="3"/>
  <c r="F15" i="3" s="1"/>
  <c r="G15" i="3"/>
  <c r="D15" i="3"/>
  <c r="M11" i="3"/>
  <c r="K11" i="3"/>
  <c r="I11" i="3"/>
  <c r="J11" i="3" s="1"/>
  <c r="E11" i="3"/>
  <c r="F11" i="3" s="1"/>
  <c r="C11" i="3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AF5" i="2"/>
  <c r="AF4" i="2"/>
  <c r="AF3" i="2"/>
  <c r="AF2" i="2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F22" i="1"/>
  <c r="B17" i="1"/>
  <c r="C16" i="1"/>
  <c r="C15" i="1"/>
  <c r="C14" i="1"/>
  <c r="C13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H16" i="3" l="1"/>
  <c r="L18" i="3"/>
  <c r="J18" i="3"/>
  <c r="D32" i="3"/>
  <c r="F32" i="3"/>
  <c r="H29" i="3"/>
  <c r="D29" i="3"/>
  <c r="L28" i="3"/>
  <c r="D28" i="3"/>
  <c r="H27" i="3"/>
  <c r="D27" i="3"/>
  <c r="H32" i="3"/>
  <c r="H31" i="3"/>
  <c r="D31" i="3"/>
  <c r="L31" i="3"/>
  <c r="F31" i="3"/>
  <c r="J31" i="3"/>
  <c r="J26" i="3"/>
  <c r="L26" i="3"/>
  <c r="L27" i="3"/>
  <c r="J27" i="3"/>
  <c r="M33" i="3"/>
  <c r="F33" i="3" s="1"/>
  <c r="J29" i="3"/>
  <c r="F29" i="3"/>
  <c r="L29" i="3"/>
  <c r="H30" i="3"/>
  <c r="J32" i="3"/>
  <c r="L32" i="3"/>
  <c r="J30" i="3"/>
  <c r="L30" i="3"/>
  <c r="F30" i="3"/>
  <c r="H19" i="3"/>
  <c r="L21" i="3"/>
  <c r="J21" i="3"/>
  <c r="L19" i="3"/>
  <c r="F19" i="3"/>
  <c r="D19" i="3"/>
  <c r="J19" i="3"/>
  <c r="L16" i="3"/>
  <c r="J16" i="3"/>
  <c r="L11" i="3"/>
  <c r="H17" i="3"/>
  <c r="L17" i="3"/>
  <c r="F17" i="3"/>
  <c r="D17" i="3"/>
  <c r="J17" i="3"/>
  <c r="AH46" i="5"/>
  <c r="AH49" i="5"/>
  <c r="AH48" i="5"/>
  <c r="AH47" i="5"/>
  <c r="AE85" i="5"/>
  <c r="AD85" i="5"/>
  <c r="AC85" i="5"/>
  <c r="D76" i="5"/>
  <c r="W83" i="5"/>
  <c r="W84" i="5" s="1"/>
  <c r="W85" i="5" s="1"/>
  <c r="AA50" i="5"/>
  <c r="AH76" i="5"/>
  <c r="AB84" i="5"/>
  <c r="AA76" i="5"/>
  <c r="AA84" i="5"/>
  <c r="X76" i="5"/>
  <c r="X84" i="5"/>
  <c r="X85" i="5" s="1"/>
  <c r="Y76" i="5"/>
  <c r="Y84" i="5"/>
  <c r="Y85" i="5" s="1"/>
  <c r="Z76" i="5"/>
  <c r="Z84" i="5"/>
  <c r="AH36" i="5"/>
  <c r="AI39" i="5" s="1"/>
  <c r="AJ32" i="5"/>
  <c r="AM32" i="5" s="1"/>
  <c r="AH4" i="1"/>
  <c r="AH3" i="1"/>
  <c r="AF25" i="1"/>
  <c r="AF24" i="1"/>
  <c r="AE26" i="1"/>
  <c r="AE27" i="1" s="1"/>
  <c r="AD26" i="1"/>
  <c r="AD27" i="1" s="1"/>
  <c r="AC26" i="1"/>
  <c r="AC27" i="1" s="1"/>
  <c r="AC30" i="1" s="1"/>
  <c r="AB26" i="1"/>
  <c r="AB27" i="1" s="1"/>
  <c r="AA26" i="1"/>
  <c r="AA27" i="1" s="1"/>
  <c r="Z26" i="1"/>
  <c r="Z27" i="1" s="1"/>
  <c r="Y26" i="1"/>
  <c r="Y27" i="1"/>
  <c r="X26" i="1"/>
  <c r="X27" i="1"/>
  <c r="W26" i="1"/>
  <c r="W27" i="1"/>
  <c r="V26" i="1"/>
  <c r="V27" i="1" s="1"/>
  <c r="V30" i="1" s="1"/>
  <c r="U26" i="1"/>
  <c r="U27" i="1" s="1"/>
  <c r="T26" i="1"/>
  <c r="T27" i="1" s="1"/>
  <c r="S26" i="1"/>
  <c r="S27" i="1" s="1"/>
  <c r="R26" i="1"/>
  <c r="R27" i="1" s="1"/>
  <c r="Q26" i="1"/>
  <c r="Q27" i="1" s="1"/>
  <c r="P26" i="1"/>
  <c r="P27" i="1" s="1"/>
  <c r="O26" i="1"/>
  <c r="O27" i="1" s="1"/>
  <c r="O30" i="1" s="1"/>
  <c r="N26" i="1"/>
  <c r="N27" i="1" s="1"/>
  <c r="M26" i="1"/>
  <c r="M27" i="1" s="1"/>
  <c r="L26" i="1"/>
  <c r="L27" i="1"/>
  <c r="K26" i="1"/>
  <c r="K27" i="1"/>
  <c r="J26" i="1"/>
  <c r="J27" i="1" s="1"/>
  <c r="I26" i="1"/>
  <c r="I27" i="1" s="1"/>
  <c r="H26" i="1"/>
  <c r="H27" i="1"/>
  <c r="H30" i="1" s="1"/>
  <c r="G26" i="1"/>
  <c r="G27" i="1"/>
  <c r="F26" i="1"/>
  <c r="F27" i="1" s="1"/>
  <c r="E26" i="1"/>
  <c r="E27" i="1" s="1"/>
  <c r="D26" i="1"/>
  <c r="D27" i="1" s="1"/>
  <c r="C26" i="1"/>
  <c r="C27" i="1"/>
  <c r="B26" i="1"/>
  <c r="AF23" i="1"/>
  <c r="B19" i="1"/>
  <c r="B18" i="1"/>
  <c r="B21" i="1"/>
  <c r="B20" i="1"/>
  <c r="D16" i="1"/>
  <c r="D15" i="1"/>
  <c r="D14" i="1"/>
  <c r="C17" i="1"/>
  <c r="C18" i="1"/>
  <c r="D13" i="1"/>
  <c r="AE8" i="1"/>
  <c r="AE11" i="1"/>
  <c r="AE10" i="1"/>
  <c r="AE9" i="1"/>
  <c r="AD11" i="1"/>
  <c r="AD8" i="1"/>
  <c r="AD12" i="1" s="1"/>
  <c r="AD10" i="1"/>
  <c r="AD9" i="1"/>
  <c r="AC9" i="1"/>
  <c r="AC8" i="1"/>
  <c r="AC12" i="1" s="1"/>
  <c r="AC10" i="1"/>
  <c r="AC11" i="1"/>
  <c r="AB10" i="1"/>
  <c r="AB9" i="1"/>
  <c r="AB11" i="1"/>
  <c r="AB8" i="1"/>
  <c r="AB12" i="1" s="1"/>
  <c r="AA9" i="1"/>
  <c r="AA11" i="1"/>
  <c r="AA8" i="1"/>
  <c r="AA10" i="1"/>
  <c r="Z11" i="1"/>
  <c r="Z9" i="1"/>
  <c r="Z8" i="1"/>
  <c r="Z10" i="1"/>
  <c r="Y9" i="1"/>
  <c r="Y10" i="1"/>
  <c r="Y11" i="1"/>
  <c r="Y8" i="1"/>
  <c r="Y12" i="1" s="1"/>
  <c r="X8" i="1"/>
  <c r="X11" i="1"/>
  <c r="X9" i="1"/>
  <c r="X10" i="1"/>
  <c r="W10" i="1"/>
  <c r="W9" i="1"/>
  <c r="W11" i="1"/>
  <c r="W8" i="1"/>
  <c r="W12" i="1" s="1"/>
  <c r="V9" i="1"/>
  <c r="V10" i="1"/>
  <c r="V8" i="1"/>
  <c r="V12" i="1" s="1"/>
  <c r="V11" i="1"/>
  <c r="U8" i="1"/>
  <c r="U9" i="1"/>
  <c r="U10" i="1"/>
  <c r="U11" i="1"/>
  <c r="T9" i="1"/>
  <c r="T11" i="1"/>
  <c r="T10" i="1"/>
  <c r="T8" i="1"/>
  <c r="T12" i="1" s="1"/>
  <c r="S11" i="1"/>
  <c r="S8" i="1"/>
  <c r="S9" i="1"/>
  <c r="S10" i="1"/>
  <c r="R10" i="1"/>
  <c r="R8" i="1"/>
  <c r="R12" i="1" s="1"/>
  <c r="R11" i="1"/>
  <c r="R9" i="1"/>
  <c r="Q9" i="1"/>
  <c r="Q11" i="1"/>
  <c r="Q8" i="1"/>
  <c r="Q12" i="1" s="1"/>
  <c r="Q10" i="1"/>
  <c r="P8" i="1"/>
  <c r="P10" i="1"/>
  <c r="P11" i="1"/>
  <c r="P9" i="1"/>
  <c r="O11" i="1"/>
  <c r="O9" i="1"/>
  <c r="O10" i="1"/>
  <c r="O8" i="1"/>
  <c r="O12" i="1" s="1"/>
  <c r="N11" i="1"/>
  <c r="N9" i="1"/>
  <c r="N8" i="1"/>
  <c r="N10" i="1"/>
  <c r="M10" i="1"/>
  <c r="M9" i="1"/>
  <c r="M8" i="1"/>
  <c r="M11" i="1"/>
  <c r="L10" i="1"/>
  <c r="L11" i="1"/>
  <c r="L8" i="1"/>
  <c r="L12" i="1" s="1"/>
  <c r="L9" i="1"/>
  <c r="K8" i="1"/>
  <c r="K10" i="1"/>
  <c r="K9" i="1"/>
  <c r="K11" i="1"/>
  <c r="J9" i="1"/>
  <c r="J10" i="1"/>
  <c r="J8" i="1"/>
  <c r="J11" i="1"/>
  <c r="I11" i="1"/>
  <c r="I9" i="1"/>
  <c r="I10" i="1"/>
  <c r="I8" i="1"/>
  <c r="I12" i="1" s="1"/>
  <c r="H8" i="1"/>
  <c r="H12" i="1" s="1"/>
  <c r="H11" i="1"/>
  <c r="H10" i="1"/>
  <c r="H9" i="1"/>
  <c r="G11" i="1"/>
  <c r="G8" i="1"/>
  <c r="G12" i="1" s="1"/>
  <c r="G10" i="1"/>
  <c r="G9" i="1"/>
  <c r="F11" i="1"/>
  <c r="F10" i="1"/>
  <c r="F9" i="1"/>
  <c r="F8" i="1"/>
  <c r="F12" i="1" s="1"/>
  <c r="E10" i="1"/>
  <c r="E11" i="1"/>
  <c r="E8" i="1"/>
  <c r="E9" i="1"/>
  <c r="D9" i="1"/>
  <c r="D11" i="1"/>
  <c r="D10" i="1"/>
  <c r="D8" i="1"/>
  <c r="D12" i="1" s="1"/>
  <c r="C9" i="1"/>
  <c r="C10" i="1"/>
  <c r="C11" i="1"/>
  <c r="C8" i="1"/>
  <c r="C12" i="1" s="1"/>
  <c r="B8" i="1"/>
  <c r="B11" i="1"/>
  <c r="B9" i="1"/>
  <c r="B10" i="1"/>
  <c r="AJ5" i="5"/>
  <c r="AJ8" i="5" s="1"/>
  <c r="AK5" i="5" s="1"/>
  <c r="AC50" i="5"/>
  <c r="AF7" i="1"/>
  <c r="AF11" i="1"/>
  <c r="AF10" i="1"/>
  <c r="AF9" i="1"/>
  <c r="AF8" i="1"/>
  <c r="AC76" i="5"/>
  <c r="AD76" i="5"/>
  <c r="AE76" i="5"/>
  <c r="AF76" i="5"/>
  <c r="AG76" i="5"/>
  <c r="V83" i="5"/>
  <c r="AH29" i="5"/>
  <c r="Z50" i="5"/>
  <c r="V50" i="5"/>
  <c r="AJ40" i="5"/>
  <c r="AH43" i="5"/>
  <c r="AJ39" i="5"/>
  <c r="W50" i="5"/>
  <c r="X50" i="5"/>
  <c r="V84" i="5"/>
  <c r="V85" i="5" s="1"/>
  <c r="AM11" i="5"/>
  <c r="AH8" i="5"/>
  <c r="AM4" i="5"/>
  <c r="C50" i="5"/>
  <c r="S52" i="5" s="1"/>
  <c r="AJ12" i="5"/>
  <c r="E83" i="5"/>
  <c r="E84" i="5" s="1"/>
  <c r="AH82" i="5"/>
  <c r="AH81" i="5"/>
  <c r="AH80" i="5"/>
  <c r="AH79" i="5"/>
  <c r="D83" i="5"/>
  <c r="D84" i="5" s="1"/>
  <c r="D85" i="5" s="1"/>
  <c r="G83" i="5"/>
  <c r="G84" i="5" s="1"/>
  <c r="H83" i="5"/>
  <c r="H84" i="5" s="1"/>
  <c r="H85" i="5" s="1"/>
  <c r="J83" i="5"/>
  <c r="J84" i="5" s="1"/>
  <c r="J85" i="5" s="1"/>
  <c r="K83" i="5"/>
  <c r="K84" i="5" s="1"/>
  <c r="K85" i="5" s="1"/>
  <c r="L83" i="5"/>
  <c r="L84" i="5" s="1"/>
  <c r="M83" i="5"/>
  <c r="M84" i="5" s="1"/>
  <c r="O83" i="5"/>
  <c r="O84" i="5" s="1"/>
  <c r="O85" i="5" s="1"/>
  <c r="Q83" i="5"/>
  <c r="Q84" i="5" s="1"/>
  <c r="Q85" i="5" s="1"/>
  <c r="R83" i="5"/>
  <c r="R84" i="5" s="1"/>
  <c r="R85" i="5" s="1"/>
  <c r="U83" i="5"/>
  <c r="U84" i="5" s="1"/>
  <c r="F83" i="5"/>
  <c r="F84" i="5" s="1"/>
  <c r="P83" i="5"/>
  <c r="P84" i="5" s="1"/>
  <c r="P85" i="5" s="1"/>
  <c r="T83" i="5"/>
  <c r="T84" i="5" s="1"/>
  <c r="S83" i="5"/>
  <c r="S84" i="5" s="1"/>
  <c r="H50" i="5"/>
  <c r="I50" i="5"/>
  <c r="J50" i="5"/>
  <c r="K50" i="5"/>
  <c r="L50" i="5"/>
  <c r="M50" i="5"/>
  <c r="N50" i="5"/>
  <c r="O50" i="5"/>
  <c r="P50" i="5"/>
  <c r="I83" i="5"/>
  <c r="I84" i="5" s="1"/>
  <c r="I85" i="5" s="1"/>
  <c r="N83" i="5"/>
  <c r="N84" i="5" s="1"/>
  <c r="D50" i="5"/>
  <c r="E50" i="5"/>
  <c r="F50" i="5"/>
  <c r="G50" i="5"/>
  <c r="Q50" i="5"/>
  <c r="R50" i="5"/>
  <c r="S50" i="5"/>
  <c r="T50" i="5"/>
  <c r="U50" i="5"/>
  <c r="AH78" i="5"/>
  <c r="C83" i="5"/>
  <c r="C84" i="5" s="1"/>
  <c r="C76" i="5"/>
  <c r="B10" i="2"/>
  <c r="B9" i="2"/>
  <c r="B8" i="2"/>
  <c r="B7" i="2"/>
  <c r="B11" i="2" s="1"/>
  <c r="AJ19" i="5"/>
  <c r="AJ33" i="5"/>
  <c r="AJ26" i="5"/>
  <c r="AM25" i="5"/>
  <c r="AH22" i="5"/>
  <c r="AI18" i="5" s="1"/>
  <c r="AJ18" i="5"/>
  <c r="AH15" i="5"/>
  <c r="AI15" i="5" s="1"/>
  <c r="K37" i="3"/>
  <c r="I37" i="3"/>
  <c r="E37" i="3"/>
  <c r="G22" i="3"/>
  <c r="N22" i="3" s="1"/>
  <c r="M22" i="3"/>
  <c r="J22" i="3" s="1"/>
  <c r="L15" i="3"/>
  <c r="J15" i="3"/>
  <c r="H15" i="3"/>
  <c r="D11" i="3"/>
  <c r="G11" i="3"/>
  <c r="H4" i="3"/>
  <c r="D33" i="3" l="1"/>
  <c r="L33" i="3"/>
  <c r="J33" i="3"/>
  <c r="H33" i="3"/>
  <c r="H11" i="3"/>
  <c r="N11" i="3"/>
  <c r="AJ47" i="5"/>
  <c r="AH50" i="5"/>
  <c r="AI47" i="5" s="1"/>
  <c r="AJ46" i="5"/>
  <c r="AM46" i="5" s="1"/>
  <c r="AH84" i="5"/>
  <c r="AI84" i="5" s="1"/>
  <c r="Z85" i="5"/>
  <c r="AB85" i="5"/>
  <c r="AB86" i="5" s="1"/>
  <c r="AJ84" i="5"/>
  <c r="AH7" i="1"/>
  <c r="AI4" i="1" s="1"/>
  <c r="AI3" i="1"/>
  <c r="AI7" i="1" s="1"/>
  <c r="AK3" i="1"/>
  <c r="AE28" i="1"/>
  <c r="AE30" i="1" s="1"/>
  <c r="AE29" i="1"/>
  <c r="AD28" i="1"/>
  <c r="AD29" i="1"/>
  <c r="AC28" i="1"/>
  <c r="AC29" i="1"/>
  <c r="AB28" i="1"/>
  <c r="AB29" i="1"/>
  <c r="AA28" i="1"/>
  <c r="AA29" i="1"/>
  <c r="Z28" i="1"/>
  <c r="Z30" i="1" s="1"/>
  <c r="Z29" i="1"/>
  <c r="Y28" i="1"/>
  <c r="Y29" i="1"/>
  <c r="X28" i="1"/>
  <c r="X30" i="1" s="1"/>
  <c r="X29" i="1"/>
  <c r="W28" i="1"/>
  <c r="W29" i="1"/>
  <c r="V28" i="1"/>
  <c r="V29" i="1"/>
  <c r="U28" i="1"/>
  <c r="U30" i="1" s="1"/>
  <c r="U29" i="1"/>
  <c r="T28" i="1"/>
  <c r="T29" i="1"/>
  <c r="S29" i="1"/>
  <c r="S28" i="1"/>
  <c r="S30" i="1" s="1"/>
  <c r="R28" i="1"/>
  <c r="R29" i="1"/>
  <c r="Q29" i="1"/>
  <c r="Q28" i="1"/>
  <c r="Q30" i="1" s="1"/>
  <c r="P28" i="1"/>
  <c r="P29" i="1"/>
  <c r="O29" i="1"/>
  <c r="O28" i="1"/>
  <c r="N28" i="1"/>
  <c r="N30" i="1" s="1"/>
  <c r="N29" i="1"/>
  <c r="M29" i="1"/>
  <c r="M28" i="1"/>
  <c r="M30" i="1" s="1"/>
  <c r="L29" i="1"/>
  <c r="L28" i="1"/>
  <c r="L30" i="1" s="1"/>
  <c r="K28" i="1"/>
  <c r="K29" i="1"/>
  <c r="J29" i="1"/>
  <c r="J28" i="1"/>
  <c r="J30" i="1" s="1"/>
  <c r="I28" i="1"/>
  <c r="I29" i="1"/>
  <c r="H29" i="1"/>
  <c r="H28" i="1"/>
  <c r="G29" i="1"/>
  <c r="G28" i="1"/>
  <c r="G30" i="1" s="1"/>
  <c r="F29" i="1"/>
  <c r="F28" i="1"/>
  <c r="F30" i="1" s="1"/>
  <c r="E29" i="1"/>
  <c r="E28" i="1"/>
  <c r="E30" i="1" s="1"/>
  <c r="D29" i="1"/>
  <c r="D28" i="1"/>
  <c r="D30" i="1" s="1"/>
  <c r="C28" i="1"/>
  <c r="C29" i="1"/>
  <c r="AF26" i="1"/>
  <c r="AF27" i="1"/>
  <c r="E16" i="1"/>
  <c r="E15" i="1"/>
  <c r="E14" i="1"/>
  <c r="E13" i="1"/>
  <c r="D17" i="1"/>
  <c r="D18" i="1"/>
  <c r="X12" i="1"/>
  <c r="U12" i="1"/>
  <c r="B22" i="1"/>
  <c r="E12" i="1"/>
  <c r="B12" i="1"/>
  <c r="AE12" i="1"/>
  <c r="AA12" i="1"/>
  <c r="Z12" i="1"/>
  <c r="S12" i="1"/>
  <c r="P12" i="1"/>
  <c r="N12" i="1"/>
  <c r="J12" i="1"/>
  <c r="M12" i="1"/>
  <c r="K12" i="1"/>
  <c r="B27" i="1"/>
  <c r="B29" i="1"/>
  <c r="B28" i="1"/>
  <c r="C20" i="1"/>
  <c r="C19" i="1"/>
  <c r="C21" i="1"/>
  <c r="AG5" i="1"/>
  <c r="AG3" i="1"/>
  <c r="AG6" i="1"/>
  <c r="AG4" i="1"/>
  <c r="AI6" i="5"/>
  <c r="AI5" i="5"/>
  <c r="AF12" i="1"/>
  <c r="AM18" i="5"/>
  <c r="U85" i="5"/>
  <c r="U86" i="5" s="1"/>
  <c r="AI43" i="5"/>
  <c r="AI40" i="5"/>
  <c r="AI42" i="5"/>
  <c r="AI41" i="5"/>
  <c r="AM39" i="5"/>
  <c r="AJ43" i="5"/>
  <c r="N85" i="5"/>
  <c r="G85" i="5"/>
  <c r="AH83" i="5"/>
  <c r="C85" i="5"/>
  <c r="G86" i="5" s="1"/>
  <c r="AJ36" i="5"/>
  <c r="E53" i="5"/>
  <c r="C54" i="5"/>
  <c r="AG55" i="5"/>
  <c r="Y55" i="5"/>
  <c r="R55" i="5"/>
  <c r="P55" i="5"/>
  <c r="N55" i="5"/>
  <c r="J55" i="5"/>
  <c r="G55" i="5"/>
  <c r="F55" i="5"/>
  <c r="AF54" i="5"/>
  <c r="AE54" i="5"/>
  <c r="J54" i="5"/>
  <c r="H54" i="5"/>
  <c r="G54" i="5"/>
  <c r="AG53" i="5"/>
  <c r="AD53" i="5"/>
  <c r="Z53" i="5"/>
  <c r="X53" i="5"/>
  <c r="V53" i="5"/>
  <c r="S53" i="5"/>
  <c r="P53" i="5"/>
  <c r="N53" i="5"/>
  <c r="H53" i="5"/>
  <c r="G53" i="5"/>
  <c r="D53" i="5"/>
  <c r="AF52" i="5"/>
  <c r="AE52" i="5"/>
  <c r="AC52" i="5"/>
  <c r="AB52" i="5"/>
  <c r="Z52" i="5"/>
  <c r="X52" i="5"/>
  <c r="V52" i="5"/>
  <c r="R52" i="5"/>
  <c r="D52" i="5"/>
  <c r="C52" i="5"/>
  <c r="C55" i="5"/>
  <c r="AE55" i="5"/>
  <c r="AB55" i="5"/>
  <c r="AA55" i="5"/>
  <c r="W55" i="5"/>
  <c r="U55" i="5"/>
  <c r="T55" i="5"/>
  <c r="Q55" i="5"/>
  <c r="M55" i="5"/>
  <c r="L55" i="5"/>
  <c r="K55" i="5"/>
  <c r="E55" i="5"/>
  <c r="AG54" i="5"/>
  <c r="Z54" i="5"/>
  <c r="X54" i="5"/>
  <c r="R54" i="5"/>
  <c r="P54" i="5"/>
  <c r="N54" i="5"/>
  <c r="M54" i="5"/>
  <c r="L54" i="5"/>
  <c r="K54" i="5"/>
  <c r="I54" i="5"/>
  <c r="D54" i="5"/>
  <c r="AF53" i="5"/>
  <c r="T53" i="5"/>
  <c r="F53" i="5"/>
  <c r="C53" i="5"/>
  <c r="AF55" i="5"/>
  <c r="AD55" i="5"/>
  <c r="AC55" i="5"/>
  <c r="Z55" i="5"/>
  <c r="X55" i="5"/>
  <c r="V55" i="5"/>
  <c r="S55" i="5"/>
  <c r="O55" i="5"/>
  <c r="H55" i="5"/>
  <c r="D55" i="5"/>
  <c r="AD54" i="5"/>
  <c r="AC54" i="5"/>
  <c r="AB54" i="5"/>
  <c r="AA54" i="5"/>
  <c r="Y54" i="5"/>
  <c r="W54" i="5"/>
  <c r="U54" i="5"/>
  <c r="T54" i="5"/>
  <c r="S54" i="5"/>
  <c r="Q54" i="5"/>
  <c r="O54" i="5"/>
  <c r="F54" i="5"/>
  <c r="E54" i="5"/>
  <c r="AE53" i="5"/>
  <c r="AC53" i="5"/>
  <c r="AA53" i="5"/>
  <c r="Y53" i="5"/>
  <c r="W53" i="5"/>
  <c r="R53" i="5"/>
  <c r="Q53" i="5"/>
  <c r="O53" i="5"/>
  <c r="M53" i="5"/>
  <c r="K53" i="5"/>
  <c r="I53" i="5"/>
  <c r="AD52" i="5"/>
  <c r="AA52" i="5"/>
  <c r="Y52" i="5"/>
  <c r="W52" i="5"/>
  <c r="U52" i="5"/>
  <c r="T52" i="5"/>
  <c r="Q52" i="5"/>
  <c r="P52" i="5"/>
  <c r="O52" i="5"/>
  <c r="N52" i="5"/>
  <c r="M52" i="5"/>
  <c r="L52" i="5"/>
  <c r="K52" i="5"/>
  <c r="J52" i="5"/>
  <c r="I52" i="5"/>
  <c r="H52" i="5"/>
  <c r="G52" i="5"/>
  <c r="E52" i="5"/>
  <c r="V54" i="5"/>
  <c r="AB53" i="5"/>
  <c r="U53" i="5"/>
  <c r="L53" i="5"/>
  <c r="J53" i="5"/>
  <c r="AG52" i="5"/>
  <c r="F52" i="5"/>
  <c r="I55" i="5"/>
  <c r="AI4" i="5"/>
  <c r="AI36" i="5"/>
  <c r="AI32" i="5"/>
  <c r="AI33" i="5"/>
  <c r="AI34" i="5"/>
  <c r="AI35" i="5"/>
  <c r="AI26" i="5"/>
  <c r="AI25" i="5"/>
  <c r="AI28" i="5"/>
  <c r="AI27" i="5"/>
  <c r="AJ22" i="5"/>
  <c r="AJ29" i="5"/>
  <c r="AI21" i="5"/>
  <c r="AI20" i="5"/>
  <c r="AI19" i="5"/>
  <c r="AI13" i="5"/>
  <c r="AI14" i="5"/>
  <c r="AJ15" i="5"/>
  <c r="AK11" i="5" s="1"/>
  <c r="AI7" i="5"/>
  <c r="AI12" i="5"/>
  <c r="AI11" i="5"/>
  <c r="H22" i="3"/>
  <c r="G37" i="3"/>
  <c r="M37" i="3"/>
  <c r="L22" i="3"/>
  <c r="L37" i="3" s="1"/>
  <c r="J37" i="3"/>
  <c r="F22" i="3"/>
  <c r="F37" i="3" s="1"/>
  <c r="D22" i="3"/>
  <c r="D37" i="3" s="1"/>
  <c r="H37" i="3" l="1"/>
  <c r="N86" i="5"/>
  <c r="AH85" i="5"/>
  <c r="AF28" i="1"/>
  <c r="AF30" i="1" s="1"/>
  <c r="AF29" i="1"/>
  <c r="F16" i="1"/>
  <c r="F15" i="1"/>
  <c r="F14" i="1"/>
  <c r="F13" i="1"/>
  <c r="E17" i="1"/>
  <c r="C30" i="1"/>
  <c r="B30" i="1"/>
  <c r="C22" i="1"/>
  <c r="AG7" i="1"/>
  <c r="AB30" i="1"/>
  <c r="AD30" i="1"/>
  <c r="AA30" i="1"/>
  <c r="Y30" i="1"/>
  <c r="W30" i="1"/>
  <c r="T30" i="1"/>
  <c r="R30" i="1"/>
  <c r="P30" i="1"/>
  <c r="K30" i="1"/>
  <c r="I30" i="1"/>
  <c r="D21" i="1"/>
  <c r="D20" i="1"/>
  <c r="D19" i="1"/>
  <c r="D22" i="1" s="1"/>
  <c r="AH52" i="5"/>
  <c r="AI46" i="5"/>
  <c r="AJ50" i="5"/>
  <c r="AK40" i="5"/>
  <c r="AK39" i="5"/>
  <c r="AI8" i="5"/>
  <c r="AI48" i="5"/>
  <c r="AI49" i="5"/>
  <c r="AK32" i="5"/>
  <c r="AK33" i="5"/>
  <c r="AK4" i="5"/>
  <c r="AH55" i="5"/>
  <c r="AH54" i="5"/>
  <c r="AH53" i="5"/>
  <c r="AK12" i="5"/>
  <c r="AI29" i="5"/>
  <c r="AK26" i="5"/>
  <c r="AK25" i="5"/>
  <c r="AK19" i="5"/>
  <c r="AK18" i="5"/>
  <c r="AI22" i="5"/>
  <c r="AJ85" i="5" l="1"/>
  <c r="AI85" i="5"/>
  <c r="G16" i="1"/>
  <c r="G15" i="1"/>
  <c r="G14" i="1"/>
  <c r="F17" i="1"/>
  <c r="G13" i="1"/>
  <c r="F18" i="1"/>
  <c r="E20" i="1"/>
  <c r="E21" i="1"/>
  <c r="E19" i="1"/>
  <c r="E18" i="1"/>
  <c r="E22" i="1" s="1"/>
  <c r="AK46" i="5"/>
  <c r="AK47" i="5"/>
  <c r="AI50" i="5"/>
  <c r="H16" i="1" l="1"/>
  <c r="H15" i="1"/>
  <c r="H14" i="1"/>
  <c r="H13" i="1"/>
  <c r="G17" i="1"/>
  <c r="F20" i="1"/>
  <c r="F21" i="1"/>
  <c r="F19" i="1"/>
  <c r="F22" i="1" s="1"/>
  <c r="I16" i="1" l="1"/>
  <c r="H21" i="1"/>
  <c r="I15" i="1"/>
  <c r="H20" i="1"/>
  <c r="I14" i="1"/>
  <c r="H19" i="1"/>
  <c r="I13" i="1"/>
  <c r="H17" i="1"/>
  <c r="H18" i="1" s="1"/>
  <c r="H22" i="1" s="1"/>
  <c r="G21" i="1"/>
  <c r="G20" i="1"/>
  <c r="G18" i="1"/>
  <c r="G19" i="1"/>
  <c r="J16" i="1" l="1"/>
  <c r="J15" i="1"/>
  <c r="I20" i="1"/>
  <c r="J14" i="1"/>
  <c r="I19" i="1"/>
  <c r="J13" i="1"/>
  <c r="I17" i="1"/>
  <c r="G22" i="1"/>
  <c r="K16" i="1" l="1"/>
  <c r="K15" i="1"/>
  <c r="K14" i="1"/>
  <c r="J17" i="1"/>
  <c r="J18" i="1"/>
  <c r="K13" i="1"/>
  <c r="I21" i="1"/>
  <c r="I18" i="1"/>
  <c r="K21" i="1" l="1"/>
  <c r="L16" i="1"/>
  <c r="L15" i="1"/>
  <c r="K20" i="1"/>
  <c r="L14" i="1"/>
  <c r="K19" i="1"/>
  <c r="L13" i="1"/>
  <c r="K18" i="1"/>
  <c r="K22" i="1" s="1"/>
  <c r="K17" i="1"/>
  <c r="I22" i="1"/>
  <c r="J20" i="1"/>
  <c r="J21" i="1"/>
  <c r="J19" i="1"/>
  <c r="J22" i="1" s="1"/>
  <c r="L21" i="1" l="1"/>
  <c r="M16" i="1"/>
  <c r="M15" i="1"/>
  <c r="M14" i="1"/>
  <c r="M13" i="1"/>
  <c r="L17" i="1"/>
  <c r="L18" i="1"/>
  <c r="N16" i="1" l="1"/>
  <c r="N15" i="1"/>
  <c r="N14" i="1"/>
  <c r="N13" i="1"/>
  <c r="M17" i="1"/>
  <c r="L20" i="1"/>
  <c r="L19" i="1"/>
  <c r="L22" i="1" s="1"/>
  <c r="O16" i="1" l="1"/>
  <c r="O15" i="1"/>
  <c r="O14" i="1"/>
  <c r="O13" i="1"/>
  <c r="N17" i="1"/>
  <c r="M21" i="1"/>
  <c r="M20" i="1"/>
  <c r="M19" i="1"/>
  <c r="M18" i="1"/>
  <c r="M22" i="1" s="1"/>
  <c r="P16" i="1" l="1"/>
  <c r="O21" i="1"/>
  <c r="O20" i="1"/>
  <c r="P15" i="1"/>
  <c r="O19" i="1"/>
  <c r="P14" i="1"/>
  <c r="P13" i="1"/>
  <c r="O17" i="1"/>
  <c r="O18" i="1" s="1"/>
  <c r="O22" i="1" s="1"/>
  <c r="N21" i="1"/>
  <c r="N20" i="1"/>
  <c r="N19" i="1"/>
  <c r="N18" i="1"/>
  <c r="Q16" i="1" l="1"/>
  <c r="P21" i="1"/>
  <c r="Q15" i="1"/>
  <c r="P20" i="1"/>
  <c r="P19" i="1"/>
  <c r="Q14" i="1"/>
  <c r="Q13" i="1"/>
  <c r="P17" i="1"/>
  <c r="P18" i="1"/>
  <c r="N22" i="1"/>
  <c r="R16" i="1" l="1"/>
  <c r="Q20" i="1"/>
  <c r="R15" i="1"/>
  <c r="R14" i="1"/>
  <c r="Q19" i="1"/>
  <c r="R13" i="1"/>
  <c r="Q17" i="1"/>
  <c r="Q21" i="1" s="1"/>
  <c r="Q18" i="1"/>
  <c r="P22" i="1"/>
  <c r="S16" i="1" l="1"/>
  <c r="S15" i="1"/>
  <c r="R20" i="1"/>
  <c r="S14" i="1"/>
  <c r="S13" i="1"/>
  <c r="R17" i="1"/>
  <c r="Q22" i="1"/>
  <c r="T16" i="1" l="1"/>
  <c r="T15" i="1"/>
  <c r="T14" i="1"/>
  <c r="T13" i="1"/>
  <c r="S17" i="1"/>
  <c r="S18" i="1"/>
  <c r="R19" i="1"/>
  <c r="R18" i="1"/>
  <c r="R22" i="1" s="1"/>
  <c r="R21" i="1"/>
  <c r="U16" i="1" l="1"/>
  <c r="T21" i="1"/>
  <c r="T20" i="1"/>
  <c r="U15" i="1"/>
  <c r="U14" i="1"/>
  <c r="U13" i="1"/>
  <c r="T17" i="1"/>
  <c r="T19" i="1" s="1"/>
  <c r="T22" i="1" s="1"/>
  <c r="T18" i="1"/>
  <c r="S21" i="1"/>
  <c r="S20" i="1"/>
  <c r="S19" i="1"/>
  <c r="S22" i="1" s="1"/>
  <c r="U21" i="1" l="1"/>
  <c r="V16" i="1"/>
  <c r="V15" i="1"/>
  <c r="V14" i="1"/>
  <c r="V13" i="1"/>
  <c r="U17" i="1"/>
  <c r="U18" i="1"/>
  <c r="V21" i="1" l="1"/>
  <c r="W16" i="1"/>
  <c r="V20" i="1"/>
  <c r="W15" i="1"/>
  <c r="W14" i="1"/>
  <c r="W13" i="1"/>
  <c r="V17" i="1"/>
  <c r="V19" i="1" s="1"/>
  <c r="V22" i="1" s="1"/>
  <c r="V18" i="1"/>
  <c r="U20" i="1"/>
  <c r="U19" i="1"/>
  <c r="U22" i="1" s="1"/>
  <c r="X16" i="1" l="1"/>
  <c r="W21" i="1"/>
  <c r="X15" i="1"/>
  <c r="X14" i="1"/>
  <c r="X13" i="1"/>
  <c r="W17" i="1"/>
  <c r="Y16" i="1" l="1"/>
  <c r="Y15" i="1"/>
  <c r="Y14" i="1"/>
  <c r="X17" i="1"/>
  <c r="Y13" i="1"/>
  <c r="W20" i="1"/>
  <c r="W19" i="1"/>
  <c r="W18" i="1"/>
  <c r="W22" i="1" s="1"/>
  <c r="Z16" i="1" l="1"/>
  <c r="Z15" i="1"/>
  <c r="Z14" i="1"/>
  <c r="Z13" i="1"/>
  <c r="Y17" i="1"/>
  <c r="X21" i="1"/>
  <c r="X19" i="1"/>
  <c r="X20" i="1"/>
  <c r="X18" i="1"/>
  <c r="X22" i="1" s="1"/>
  <c r="AA16" i="1" l="1"/>
  <c r="AA15" i="1"/>
  <c r="AA14" i="1"/>
  <c r="AA13" i="1"/>
  <c r="Z17" i="1"/>
  <c r="Y21" i="1"/>
  <c r="Y20" i="1"/>
  <c r="Y19" i="1"/>
  <c r="Y18" i="1"/>
  <c r="Y22" i="1" s="1"/>
  <c r="AA21" i="1" l="1"/>
  <c r="AB16" i="1"/>
  <c r="AB15" i="1"/>
  <c r="AA20" i="1"/>
  <c r="AA19" i="1"/>
  <c r="AB14" i="1"/>
  <c r="AB13" i="1"/>
  <c r="AA17" i="1"/>
  <c r="AA18" i="1" s="1"/>
  <c r="AA22" i="1" s="1"/>
  <c r="Z21" i="1"/>
  <c r="Z20" i="1"/>
  <c r="Z19" i="1"/>
  <c r="Z18" i="1"/>
  <c r="Z22" i="1" s="1"/>
  <c r="AB21" i="1" l="1"/>
  <c r="AC16" i="1"/>
  <c r="AC15" i="1"/>
  <c r="AB20" i="1"/>
  <c r="AB19" i="1"/>
  <c r="AC14" i="1"/>
  <c r="AC13" i="1"/>
  <c r="AB17" i="1"/>
  <c r="AB18" i="1" s="1"/>
  <c r="AB22" i="1" s="1"/>
  <c r="AC21" i="1" l="1"/>
  <c r="AD16" i="1"/>
  <c r="AC20" i="1"/>
  <c r="AD15" i="1"/>
  <c r="AC19" i="1"/>
  <c r="AD14" i="1"/>
  <c r="AD13" i="1"/>
  <c r="AC17" i="1"/>
  <c r="AC18" i="1"/>
  <c r="AD21" i="1" l="1"/>
  <c r="AE16" i="1"/>
  <c r="AE15" i="1"/>
  <c r="AD20" i="1"/>
  <c r="AD19" i="1"/>
  <c r="AE14" i="1"/>
  <c r="AE13" i="1"/>
  <c r="AD18" i="1"/>
  <c r="AD22" i="1" s="1"/>
  <c r="AD17" i="1"/>
  <c r="AC22" i="1"/>
  <c r="AE17" i="1" l="1"/>
  <c r="AE18" i="1" s="1"/>
  <c r="AE19" i="1" l="1"/>
  <c r="AE22" i="1" s="1"/>
  <c r="AE20" i="1"/>
  <c r="AE21" i="1"/>
</calcChain>
</file>

<file path=xl/sharedStrings.xml><?xml version="1.0" encoding="utf-8"?>
<sst xmlns="http://schemas.openxmlformats.org/spreadsheetml/2006/main" count="310" uniqueCount="71">
  <si>
    <t>FROTA</t>
  </si>
  <si>
    <t>TRANSPREDI</t>
  </si>
  <si>
    <t>TERCEIROS</t>
  </si>
  <si>
    <t>FOB</t>
  </si>
  <si>
    <t>TOTAL</t>
  </si>
  <si>
    <t>FROTA/TRANSPREDI</t>
  </si>
  <si>
    <t xml:space="preserve">Predilecta </t>
  </si>
  <si>
    <t>StellaDóro</t>
  </si>
  <si>
    <t>SóFruta</t>
  </si>
  <si>
    <t>Salsaretti</t>
  </si>
  <si>
    <t>Minas+</t>
  </si>
  <si>
    <t>CARREGAMENTO GRUPO PREDILECTA - MAIO/26</t>
  </si>
  <si>
    <t>Empresa</t>
  </si>
  <si>
    <t>Frota</t>
  </si>
  <si>
    <t>%</t>
  </si>
  <si>
    <t>Transpredi</t>
  </si>
  <si>
    <t>Terceiro</t>
  </si>
  <si>
    <t>Total</t>
  </si>
  <si>
    <t>Predilecta</t>
  </si>
  <si>
    <t>Sófruta</t>
  </si>
  <si>
    <t>Stella</t>
  </si>
  <si>
    <t>Minas</t>
  </si>
  <si>
    <t>Nordeste </t>
  </si>
  <si>
    <t>Goias</t>
  </si>
  <si>
    <t>Nordeste</t>
  </si>
  <si>
    <t>Goiás</t>
  </si>
  <si>
    <t>Maio x Junho</t>
  </si>
  <si>
    <t>Frota+Transpredi</t>
  </si>
  <si>
    <t>CARREGAMENTO GRUPO PREDILECTA - JUNHO/26</t>
  </si>
  <si>
    <t>MAIO X JUNHO</t>
  </si>
  <si>
    <t>P X TERC</t>
  </si>
  <si>
    <t>PREDILECTA</t>
  </si>
  <si>
    <t>PREDILETA TRF/COL</t>
  </si>
  <si>
    <t xml:space="preserve">SS COLETA </t>
  </si>
  <si>
    <t>SD DIST</t>
  </si>
  <si>
    <t>SD TRF</t>
  </si>
  <si>
    <t>PD DISTRIB</t>
  </si>
  <si>
    <t>SS DISTRIB</t>
  </si>
  <si>
    <t>SF DISTRIB</t>
  </si>
  <si>
    <t xml:space="preserve">SF COLETA </t>
  </si>
  <si>
    <t>MM DISTRIB</t>
  </si>
  <si>
    <t>MM COLETA</t>
  </si>
  <si>
    <t>PD</t>
  </si>
  <si>
    <t>SS</t>
  </si>
  <si>
    <t>SD</t>
  </si>
  <si>
    <t>SF</t>
  </si>
  <si>
    <t>MM</t>
  </si>
  <si>
    <t>% P x % TERC</t>
  </si>
  <si>
    <t>Aumento Geral</t>
  </si>
  <si>
    <t>seg</t>
  </si>
  <si>
    <t>ter</t>
  </si>
  <si>
    <t>qua</t>
  </si>
  <si>
    <t>qui</t>
  </si>
  <si>
    <t>sex</t>
  </si>
  <si>
    <t>sáb</t>
  </si>
  <si>
    <t>dom</t>
  </si>
  <si>
    <t>TOTAL DIST</t>
  </si>
  <si>
    <t>TOTAL COLETA E TRF</t>
  </si>
  <si>
    <t>TOTAL VEIC Ñ EMP</t>
  </si>
  <si>
    <t>TOTAL VEIC CARREG</t>
  </si>
  <si>
    <t>MANUTENÇÃO</t>
  </si>
  <si>
    <t>PERNOITE NO CLIENTE</t>
  </si>
  <si>
    <t xml:space="preserve">TEMPO MEDIO DE ENTREGA </t>
  </si>
  <si>
    <t>Média Viagens</t>
  </si>
  <si>
    <t xml:space="preserve">Qtd Veículos </t>
  </si>
  <si>
    <t>PROP X TERC</t>
  </si>
  <si>
    <t>NM</t>
  </si>
  <si>
    <t>NM DISTRIB</t>
  </si>
  <si>
    <t>CARREGAMENTO GRUPO PREDILECTA - JULHO/26</t>
  </si>
  <si>
    <t>JUNHO X JULHO</t>
  </si>
  <si>
    <t>Maio x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</si>
</sst>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8"/>
      <color rgb="FF000000"/>
      <name val="Inherit"/>
    </font>
    <font>
      <b/>
      <sz val="8"/>
      <color rgb="FF00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rgb="FF000000"/>
      <name val="Arial Nova"/>
      <family val="2"/>
    </font>
    <font>
      <sz val="10"/>
      <color rgb="FF242424"/>
      <name val="Arial Nova"/>
      <family val="2"/>
    </font>
    <font>
      <sz val="11"/>
      <color theme="1"/>
      <name val="Arial Nova"/>
      <family val="2"/>
    </font>
    <font>
      <b/>
      <sz val="12"/>
      <color rgb="FF000000"/>
      <name val="Calibri"/>
      <family val="2"/>
    </font>
    <font>
      <sz val="14"/>
      <color rgb="FF000000"/>
      <name val="Garamond"/>
      <family val="1"/>
    </font>
    <font>
      <b/>
      <sz val="14"/>
      <color rgb="FF000000"/>
      <name val="Inherit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4"/>
      <color rgb="FF000000"/>
      <name val="Inherit"/>
    </font>
    <font>
      <b/>
      <sz val="14"/>
      <color rgb="FF000000"/>
      <name val="Garamond"/>
      <family val="1"/>
    </font>
    <font>
      <sz val="14"/>
      <color rgb="FF000000"/>
      <name val="I"/>
    </font>
    <font>
      <b/>
      <sz val="14"/>
      <color rgb="FF000000"/>
      <name val="I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Inherit"/>
    </font>
    <font>
      <b/>
      <sz val="10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FF"/>
      <name val="Arial Nova"/>
      <family val="2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7C7AC"/>
        <bgColor indexed="64"/>
      </patternFill>
    </fill>
  </fills>
  <borders count="4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4">
    <xf numFmtId="0" fontId="0" fillId="0" borderId="0" xfId="0"/>
    <xf numFmtId="9" fontId="0" fillId="0" borderId="0" xfId="0" applyNumberFormat="1"/>
    <xf numFmtId="0" fontId="2" fillId="0" borderId="0" xfId="0" applyFont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9" fontId="5" fillId="0" borderId="0" xfId="1" applyFont="1"/>
    <xf numFmtId="9" fontId="5" fillId="0" borderId="0" xfId="0" applyNumberFormat="1" applyFont="1"/>
    <xf numFmtId="0" fontId="6" fillId="0" borderId="0" xfId="0" applyFont="1"/>
    <xf numFmtId="9" fontId="6" fillId="0" borderId="0" xfId="1" applyFont="1"/>
    <xf numFmtId="9" fontId="6" fillId="0" borderId="0" xfId="0" applyNumberFormat="1" applyFont="1"/>
    <xf numFmtId="0" fontId="7" fillId="0" borderId="0" xfId="0" applyFont="1"/>
    <xf numFmtId="9" fontId="5" fillId="0" borderId="0" xfId="1" applyFont="1" applyAlignment="1">
      <alignment horizontal="center"/>
    </xf>
    <xf numFmtId="9" fontId="7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0" fontId="14" fillId="0" borderId="0" xfId="0" applyFont="1" applyAlignment="1">
      <alignment horizontal="center"/>
    </xf>
    <xf numFmtId="0" fontId="12" fillId="7" borderId="3" xfId="0" applyFont="1" applyFill="1" applyBorder="1" applyAlignment="1">
      <alignment horizontal="center" vertical="center"/>
    </xf>
    <xf numFmtId="9" fontId="12" fillId="7" borderId="7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9" fontId="13" fillId="6" borderId="9" xfId="0" applyNumberFormat="1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9" fontId="16" fillId="6" borderId="3" xfId="0" applyNumberFormat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9" fontId="18" fillId="4" borderId="3" xfId="0" applyNumberFormat="1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9" fontId="18" fillId="5" borderId="3" xfId="0" applyNumberFormat="1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readingOrder="1"/>
    </xf>
    <xf numFmtId="9" fontId="12" fillId="5" borderId="1" xfId="1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readingOrder="1"/>
    </xf>
    <xf numFmtId="0" fontId="18" fillId="4" borderId="19" xfId="0" applyFont="1" applyFill="1" applyBorder="1" applyAlignment="1">
      <alignment horizontal="center" vertical="center"/>
    </xf>
    <xf numFmtId="9" fontId="18" fillId="4" borderId="20" xfId="0" applyNumberFormat="1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9" fontId="18" fillId="5" borderId="20" xfId="0" applyNumberFormat="1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9" fontId="16" fillId="6" borderId="20" xfId="0" applyNumberFormat="1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9" fontId="12" fillId="7" borderId="2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1" fillId="0" borderId="23" xfId="0" applyFont="1" applyBorder="1" applyAlignment="1">
      <alignment horizontal="center" vertical="center" readingOrder="1"/>
    </xf>
    <xf numFmtId="0" fontId="13" fillId="2" borderId="24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readingOrder="1"/>
    </xf>
    <xf numFmtId="0" fontId="18" fillId="4" borderId="22" xfId="0" applyFont="1" applyFill="1" applyBorder="1" applyAlignment="1">
      <alignment horizontal="center" vertical="center"/>
    </xf>
    <xf numFmtId="9" fontId="18" fillId="4" borderId="23" xfId="0" applyNumberFormat="1" applyFont="1" applyFill="1" applyBorder="1" applyAlignment="1">
      <alignment horizontal="center" vertical="center"/>
    </xf>
    <xf numFmtId="0" fontId="18" fillId="5" borderId="23" xfId="0" applyFont="1" applyFill="1" applyBorder="1" applyAlignment="1">
      <alignment horizontal="center" vertical="center"/>
    </xf>
    <xf numFmtId="9" fontId="18" fillId="5" borderId="23" xfId="0" applyNumberFormat="1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9" fontId="16" fillId="6" borderId="23" xfId="0" applyNumberFormat="1" applyFont="1" applyFill="1" applyBorder="1" applyAlignment="1">
      <alignment horizontal="center" vertical="center"/>
    </xf>
    <xf numFmtId="0" fontId="12" fillId="7" borderId="23" xfId="0" applyFont="1" applyFill="1" applyBorder="1" applyAlignment="1">
      <alignment horizontal="center" vertical="center"/>
    </xf>
    <xf numFmtId="9" fontId="12" fillId="7" borderId="24" xfId="0" applyNumberFormat="1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13" fillId="4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9" fontId="12" fillId="5" borderId="28" xfId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readingOrder="1"/>
    </xf>
    <xf numFmtId="0" fontId="18" fillId="4" borderId="30" xfId="0" applyFont="1" applyFill="1" applyBorder="1" applyAlignment="1">
      <alignment horizontal="center" vertical="center"/>
    </xf>
    <xf numFmtId="9" fontId="18" fillId="4" borderId="31" xfId="0" applyNumberFormat="1" applyFont="1" applyFill="1" applyBorder="1" applyAlignment="1">
      <alignment horizontal="center" vertical="center"/>
    </xf>
    <xf numFmtId="0" fontId="18" fillId="5" borderId="31" xfId="0" applyFont="1" applyFill="1" applyBorder="1" applyAlignment="1">
      <alignment horizontal="center" vertical="center"/>
    </xf>
    <xf numFmtId="9" fontId="18" fillId="5" borderId="31" xfId="0" applyNumberFormat="1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9" fontId="12" fillId="5" borderId="16" xfId="1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9" fontId="16" fillId="6" borderId="31" xfId="0" applyNumberFormat="1" applyFont="1" applyFill="1" applyBorder="1" applyAlignment="1">
      <alignment horizontal="center" vertical="center"/>
    </xf>
    <xf numFmtId="0" fontId="12" fillId="7" borderId="31" xfId="0" applyFont="1" applyFill="1" applyBorder="1" applyAlignment="1">
      <alignment horizontal="center" vertical="center"/>
    </xf>
    <xf numFmtId="9" fontId="12" fillId="7" borderId="33" xfId="0" applyNumberFormat="1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5" fillId="0" borderId="35" xfId="0" applyFont="1" applyBorder="1" applyAlignment="1">
      <alignment horizontal="center"/>
    </xf>
    <xf numFmtId="0" fontId="19" fillId="4" borderId="36" xfId="0" applyFont="1" applyFill="1" applyBorder="1" applyAlignment="1">
      <alignment horizontal="center" vertical="center"/>
    </xf>
    <xf numFmtId="9" fontId="19" fillId="4" borderId="37" xfId="0" applyNumberFormat="1" applyFont="1" applyFill="1" applyBorder="1" applyAlignment="1">
      <alignment horizontal="center" vertical="center"/>
    </xf>
    <xf numFmtId="0" fontId="19" fillId="5" borderId="37" xfId="0" applyFont="1" applyFill="1" applyBorder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9" fontId="13" fillId="6" borderId="37" xfId="0" applyNumberFormat="1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9" fontId="17" fillId="7" borderId="38" xfId="0" applyNumberFormat="1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 vertical="center" readingOrder="1"/>
    </xf>
    <xf numFmtId="0" fontId="18" fillId="4" borderId="40" xfId="0" applyFont="1" applyFill="1" applyBorder="1" applyAlignment="1">
      <alignment horizontal="center" vertical="center"/>
    </xf>
    <xf numFmtId="9" fontId="18" fillId="4" borderId="41" xfId="0" applyNumberFormat="1" applyFont="1" applyFill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9" fontId="18" fillId="5" borderId="41" xfId="0" applyNumberFormat="1" applyFont="1" applyFill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9" fontId="16" fillId="6" borderId="41" xfId="0" applyNumberFormat="1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9" fontId="12" fillId="7" borderId="42" xfId="0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readingOrder="1"/>
    </xf>
    <xf numFmtId="0" fontId="18" fillId="4" borderId="8" xfId="0" applyFont="1" applyFill="1" applyBorder="1" applyAlignment="1">
      <alignment horizontal="center" vertical="center"/>
    </xf>
    <xf numFmtId="9" fontId="18" fillId="4" borderId="9" xfId="0" applyNumberFormat="1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9" fontId="18" fillId="5" borderId="9" xfId="0" applyNumberFormat="1" applyFont="1" applyFill="1" applyBorder="1" applyAlignment="1">
      <alignment horizontal="center" vertical="center"/>
    </xf>
    <xf numFmtId="0" fontId="12" fillId="5" borderId="44" xfId="0" applyFont="1" applyFill="1" applyBorder="1" applyAlignment="1">
      <alignment horizontal="center" vertical="center"/>
    </xf>
    <xf numFmtId="9" fontId="12" fillId="5" borderId="45" xfId="1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9" fontId="16" fillId="6" borderId="9" xfId="0" applyNumberFormat="1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9" fontId="12" fillId="7" borderId="10" xfId="0" applyNumberFormat="1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9" fontId="19" fillId="4" borderId="36" xfId="0" applyNumberFormat="1" applyFont="1" applyFill="1" applyBorder="1" applyAlignment="1">
      <alignment horizontal="center" vertical="center"/>
    </xf>
    <xf numFmtId="9" fontId="19" fillId="5" borderId="47" xfId="0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9" fontId="12" fillId="4" borderId="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9" fontId="12" fillId="5" borderId="3" xfId="0" applyNumberFormat="1" applyFont="1" applyFill="1" applyBorder="1" applyAlignment="1">
      <alignment horizontal="center" vertical="center"/>
    </xf>
    <xf numFmtId="9" fontId="12" fillId="5" borderId="3" xfId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9" fontId="13" fillId="6" borderId="3" xfId="0" applyNumberFormat="1" applyFont="1" applyFill="1" applyBorder="1" applyAlignment="1">
      <alignment horizontal="center" vertical="center"/>
    </xf>
    <xf numFmtId="9" fontId="12" fillId="7" borderId="3" xfId="0" applyNumberFormat="1" applyFont="1" applyFill="1" applyBorder="1" applyAlignment="1">
      <alignment horizontal="center" vertical="center"/>
    </xf>
    <xf numFmtId="0" fontId="11" fillId="0" borderId="40" xfId="0" applyFont="1" applyBorder="1" applyAlignment="1">
      <alignment horizontal="center" vertical="center" readingOrder="1"/>
    </xf>
    <xf numFmtId="0" fontId="12" fillId="4" borderId="41" xfId="0" applyFont="1" applyFill="1" applyBorder="1" applyAlignment="1">
      <alignment horizontal="center" vertical="center"/>
    </xf>
    <xf numFmtId="9" fontId="12" fillId="4" borderId="41" xfId="0" applyNumberFormat="1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 vertical="center"/>
    </xf>
    <xf numFmtId="9" fontId="12" fillId="5" borderId="41" xfId="0" applyNumberFormat="1" applyFont="1" applyFill="1" applyBorder="1" applyAlignment="1">
      <alignment horizontal="center" vertical="center"/>
    </xf>
    <xf numFmtId="9" fontId="12" fillId="5" borderId="41" xfId="1" applyFont="1" applyFill="1" applyBorder="1" applyAlignment="1">
      <alignment horizontal="center" vertical="center"/>
    </xf>
    <xf numFmtId="0" fontId="13" fillId="6" borderId="41" xfId="0" applyFont="1" applyFill="1" applyBorder="1" applyAlignment="1">
      <alignment horizontal="center" vertical="center"/>
    </xf>
    <xf numFmtId="9" fontId="13" fillId="6" borderId="41" xfId="0" applyNumberFormat="1" applyFont="1" applyFill="1" applyBorder="1" applyAlignment="1">
      <alignment horizontal="center" vertical="center"/>
    </xf>
    <xf numFmtId="9" fontId="12" fillId="7" borderId="41" xfId="0" applyNumberFormat="1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readingOrder="1"/>
    </xf>
    <xf numFmtId="0" fontId="11" fillId="0" borderId="8" xfId="0" applyFont="1" applyBorder="1" applyAlignment="1">
      <alignment horizontal="center" vertical="center" readingOrder="1"/>
    </xf>
    <xf numFmtId="0" fontId="12" fillId="4" borderId="9" xfId="0" applyFont="1" applyFill="1" applyBorder="1" applyAlignment="1">
      <alignment horizontal="center" vertical="center"/>
    </xf>
    <xf numFmtId="9" fontId="12" fillId="4" borderId="9" xfId="0" applyNumberFormat="1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9" fontId="12" fillId="5" borderId="9" xfId="0" applyNumberFormat="1" applyFont="1" applyFill="1" applyBorder="1" applyAlignment="1">
      <alignment horizontal="center" vertical="center"/>
    </xf>
    <xf numFmtId="9" fontId="12" fillId="5" borderId="9" xfId="1" applyFont="1" applyFill="1" applyBorder="1" applyAlignment="1">
      <alignment horizontal="center" vertical="center"/>
    </xf>
    <xf numFmtId="9" fontId="12" fillId="7" borderId="9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16" fontId="22" fillId="0" borderId="0" xfId="0" applyNumberFormat="1" applyFont="1" applyAlignment="1">
      <alignment horizontal="center" vertical="center"/>
    </xf>
    <xf numFmtId="0" fontId="21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9" fontId="15" fillId="0" borderId="0" xfId="1" applyFont="1" applyAlignment="1">
      <alignment horizontal="center"/>
    </xf>
    <xf numFmtId="0" fontId="15" fillId="0" borderId="0" xfId="0" applyFont="1"/>
    <xf numFmtId="9" fontId="24" fillId="0" borderId="0" xfId="1" applyFont="1" applyAlignment="1">
      <alignment horizontal="center"/>
    </xf>
    <xf numFmtId="9" fontId="24" fillId="0" borderId="0" xfId="0" applyNumberFormat="1" applyFont="1" applyAlignment="1">
      <alignment horizontal="center"/>
    </xf>
    <xf numFmtId="9" fontId="15" fillId="0" borderId="0" xfId="0" applyNumberFormat="1" applyFont="1" applyAlignment="1">
      <alignment horizontal="center"/>
    </xf>
    <xf numFmtId="16" fontId="22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0" fillId="3" borderId="0" xfId="0" applyFill="1"/>
    <xf numFmtId="0" fontId="1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3" fillId="3" borderId="0" xfId="0" applyFont="1" applyFill="1" applyAlignment="1">
      <alignment horizont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/>
    </xf>
    <xf numFmtId="0" fontId="27" fillId="3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9" fontId="28" fillId="0" borderId="0" xfId="1" applyFont="1" applyAlignment="1">
      <alignment horizontal="center"/>
    </xf>
    <xf numFmtId="0" fontId="27" fillId="0" borderId="0" xfId="0" applyFont="1"/>
    <xf numFmtId="0" fontId="28" fillId="3" borderId="0" xfId="0" applyFont="1" applyFill="1" applyAlignment="1">
      <alignment horizontal="center"/>
    </xf>
    <xf numFmtId="9" fontId="28" fillId="0" borderId="0" xfId="0" applyNumberFormat="1" applyFont="1" applyAlignment="1">
      <alignment horizontal="center"/>
    </xf>
    <xf numFmtId="9" fontId="6" fillId="0" borderId="0" xfId="1" applyFont="1" applyAlignment="1">
      <alignment horizontal="center"/>
    </xf>
    <xf numFmtId="9" fontId="6" fillId="3" borderId="0" xfId="1" applyFont="1" applyFill="1" applyAlignment="1">
      <alignment horizontal="center"/>
    </xf>
    <xf numFmtId="2" fontId="15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2" fontId="28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43" fontId="0" fillId="0" borderId="0" xfId="2" applyFont="1"/>
    <xf numFmtId="0" fontId="30" fillId="0" borderId="0" xfId="0" applyFont="1"/>
    <xf numFmtId="0" fontId="24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" fillId="0" borderId="0" xfId="1" applyFont="1" applyAlignment="1">
      <alignment horizontal="center"/>
    </xf>
    <xf numFmtId="0" fontId="31" fillId="0" borderId="0" xfId="0" applyFont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26671</xdr:rowOff>
    </xdr:from>
    <xdr:to>
      <xdr:col>0</xdr:col>
      <xdr:colOff>1583055</xdr:colOff>
      <xdr:row>3</xdr:row>
      <xdr:rowOff>15240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736E84-AD2C-F73D-AAC3-C7C2737D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26671"/>
          <a:ext cx="1579244" cy="535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1122680</xdr:colOff>
      <xdr:row>2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FC3B4BC-B184-4DA8-C04C-39947F25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03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91440</xdr:rowOff>
    </xdr:from>
    <xdr:to>
      <xdr:col>1</xdr:col>
      <xdr:colOff>1390650</xdr:colOff>
      <xdr:row>9</xdr:row>
      <xdr:rowOff>419100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9D5DB7-6E83-A773-38F0-57B28C3A8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4965"/>
          <a:ext cx="1390650" cy="508635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</xdr:colOff>
      <xdr:row>22</xdr:row>
      <xdr:rowOff>22859</xdr:rowOff>
    </xdr:from>
    <xdr:to>
      <xdr:col>1</xdr:col>
      <xdr:colOff>1158240</xdr:colOff>
      <xdr:row>23</xdr:row>
      <xdr:rowOff>422909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A730C09-6A18-BE0B-83AF-57B357363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" y="4566284"/>
          <a:ext cx="1114425" cy="5810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29</xdr:row>
      <xdr:rowOff>95250</xdr:rowOff>
    </xdr:from>
    <xdr:to>
      <xdr:col>1</xdr:col>
      <xdr:colOff>1108709</xdr:colOff>
      <xdr:row>30</xdr:row>
      <xdr:rowOff>510591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18376ED-8D03-8196-FA24-8FDD7D7E7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6200775"/>
          <a:ext cx="1089659" cy="59060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36</xdr:row>
      <xdr:rowOff>104775</xdr:rowOff>
    </xdr:from>
    <xdr:to>
      <xdr:col>1</xdr:col>
      <xdr:colOff>1371600</xdr:colOff>
      <xdr:row>37</xdr:row>
      <xdr:rowOff>516306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5D4C5A0-2D62-2991-D045-13AE3DC9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848600"/>
          <a:ext cx="1314450" cy="58869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57150</xdr:rowOff>
    </xdr:from>
    <xdr:to>
      <xdr:col>1</xdr:col>
      <xdr:colOff>1236345</xdr:colOff>
      <xdr:row>16</xdr:row>
      <xdr:rowOff>283881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69D610A-0516-4128-C410-7FE122ED3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114675"/>
          <a:ext cx="1209675" cy="4077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91440</xdr:colOff>
      <xdr:row>41</xdr:row>
      <xdr:rowOff>91440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3937862-5ED9-1063-2DBB-E1D8DA94F109}"/>
            </a:ext>
          </a:extLst>
        </xdr:cNvPr>
        <xdr:cNvSpPr txBox="1"/>
      </xdr:nvSpPr>
      <xdr:spPr>
        <a:xfrm>
          <a:off x="703761" y="806522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17418</xdr:colOff>
      <xdr:row>40</xdr:row>
      <xdr:rowOff>132261</xdr:rowOff>
    </xdr:from>
    <xdr:to>
      <xdr:col>13</xdr:col>
      <xdr:colOff>0</xdr:colOff>
      <xdr:row>84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62B1293-9814-67B0-3337-3950B6FB6026}"/>
            </a:ext>
          </a:extLst>
        </xdr:cNvPr>
        <xdr:cNvSpPr txBox="1"/>
      </xdr:nvSpPr>
      <xdr:spPr>
        <a:xfrm>
          <a:off x="629739" y="7942761"/>
          <a:ext cx="10568940" cy="774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JUSTIFICATIVAS:</a:t>
          </a:r>
          <a:r>
            <a:rPr lang="pt-BR" sz="1100" baseline="0"/>
            <a:t> FOI ESTABELECIDA A </a:t>
          </a:r>
          <a:r>
            <a:rPr lang="pt-BR" sz="1400" b="1" u="sng" baseline="0"/>
            <a:t>META PARA REDUÇÃO DE 40% PARA 25% NA CONTRATAÇÃO DE TERCEIROS</a:t>
          </a:r>
          <a:r>
            <a:rPr lang="pt-BR" sz="1100" u="sng" baseline="0"/>
            <a:t> SOBRE O RESULTADO DA </a:t>
          </a:r>
          <a:r>
            <a:rPr lang="pt-BR" sz="1400" b="1" u="sng" baseline="0">
              <a:solidFill>
                <a:srgbClr val="FF0000"/>
              </a:solidFill>
            </a:rPr>
            <a:t>PREDILECTA</a:t>
          </a:r>
          <a:r>
            <a:rPr lang="pt-BR" sz="1100" u="sng" baseline="0"/>
            <a:t> </a:t>
          </a:r>
          <a:r>
            <a:rPr lang="pt-BR" sz="1100" baseline="0"/>
            <a:t>- </a:t>
          </a:r>
          <a:r>
            <a:rPr lang="pt-BR" sz="1400" b="1" baseline="0">
              <a:solidFill>
                <a:srgbClr val="0000FF"/>
              </a:solidFill>
            </a:rPr>
            <a:t>RESULTADO ALCANÇADO: 28% </a:t>
          </a:r>
          <a:r>
            <a:rPr lang="pt-BR" sz="1400" b="1" baseline="0"/>
            <a:t> - </a:t>
          </a:r>
          <a:r>
            <a:rPr lang="pt-BR" sz="1100" baseline="0"/>
            <a:t>PREJUDICADO PELO JOGO DO BRASIL NO DIA 29/06 EQM QUE OS VEÍCULOS NÃO DESCARREGARAM EM TEMPO HÁBIL PARA RETORNAR E SER EMEPENHADOS EM NOVA VIAGEM,</a:t>
          </a:r>
        </a:p>
        <a:p>
          <a:endParaRPr lang="pt-BR" sz="1100" baseline="0"/>
        </a:p>
        <a:p>
          <a:r>
            <a:rPr lang="pt-BR" sz="1100" baseline="0"/>
            <a:t>HOUVE UM AUMENTO GERAL DE </a:t>
          </a:r>
          <a:r>
            <a:rPr lang="pt-BR" sz="1400" b="1" baseline="0">
              <a:solidFill>
                <a:srgbClr val="0000FF"/>
              </a:solidFill>
            </a:rPr>
            <a:t>7% NA UTILIZAÇÃO DA FROTA PRÓRIA</a:t>
          </a:r>
          <a:r>
            <a:rPr lang="pt-BR" sz="1400" b="1" baseline="0"/>
            <a:t> </a:t>
          </a:r>
          <a:r>
            <a:rPr lang="pt-BR" sz="1100" baseline="0"/>
            <a:t>RESPRESENTANDO </a:t>
          </a:r>
          <a:r>
            <a:rPr lang="pt-BR" sz="1400" b="1" baseline="0">
              <a:solidFill>
                <a:srgbClr val="0000FF"/>
              </a:solidFill>
            </a:rPr>
            <a:t>134 SERVIÇOS A MAIS </a:t>
          </a:r>
          <a:r>
            <a:rPr lang="pt-BR" sz="1100" baseline="0"/>
            <a:t>E UMA </a:t>
          </a:r>
          <a:r>
            <a:rPr lang="pt-BR" sz="1400" b="1" baseline="0">
              <a:solidFill>
                <a:srgbClr val="0000FF"/>
              </a:solidFill>
            </a:rPr>
            <a:t>REDUÇÃO DE 8% NA CONTRATAÇÃO DE TERCEIROS REPRESENTANDO 197 CONTRATAÇÕES A MENOS </a:t>
          </a:r>
          <a:r>
            <a:rPr lang="pt-BR" sz="1400" b="1" baseline="0">
              <a:solidFill>
                <a:sysClr val="windowText" lastClr="000000"/>
              </a:solidFill>
            </a:rPr>
            <a:t>por certo com considerável respresentativade economica.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CONSIDERANDO AS UNIDADES ONDE ESTAMOS COM MAIOR ATUAÇÃO COMPARANDO COM OS RESULTADOS EM GERAL, HÁ UMA CLARA EVOLUÇÃO  NAS RESPECTIVAS UNIDADES CHEGANDO A 10% A MELHORIA NA UTILIZAÇÃO DA FROTA PRÓPRIA E REDUÇÃO DE 10% NA CONTRATAÇÃO DE TERCEIROS.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PONTOS A SER OBSERVADOS E QUE VAMOS ATUAR PARA MELHORIA NA UTILIZAÇÃO DA FROTA PROPRIA: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 - CONTRATAÇÃO DE MOTORISTAS EXTRAS NAS DEMAIS UNIDADES PARA QUE POSSAMOS EMPENHAR O VEÍCULO NO RETORNO SEM SER AFETADO PELA INDISPONIBILIDADE PELA INTERJORNADAS (SD, SF, MM E SS)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 CARREGAR OS VEÍCULOS EMPENHADOS EM NOSSAS BASES NA DATA PREVISTA PARA NÃO PERDERMOS A OPORTUNIDADES DE EXECUTAR MAIS SERVIÇOS COM O OMESMO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GERENCIAR O TEMPO DE PERMANÊNCIA EM NOSSOS CLIENTES  ATUANDO PARA LIBERAÇÃO DOS VEÍCULOS EM MENOR TEMPO ATRAVÉS DE COMUNICAÇÃO COMERCIAL 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CONTINUAR E INTENSIFICAR O MONITORAMENTO DOS NOSSOS VEÍCULOS EM NOSSAS BASES IDENTIFICANDO QUALQUER GARGALO  PARA OTIMIZAR O TEMPO DE DESCARREGAMENTO E CARREGAMENTOS PARA RETORANAREM A ROTA.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OTIMIZAR O TEMPO NOS PONTSOS DE COLETA PARA AGILZIAREM A LIBERAÇÃO DOS NOSSOS VEÍCULOS PARA RETORNAR PARA BASE.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ACOMPANHAMENTO DOS NOSSOS MOTORISTAS PARA QUE RETORNEM O QUANTO ANTES PARA A NOSSA BASE NO INTUITO DE DESCANSAREM MELHOR E PRODUZIREM MAIS, MELHORANDO ASSIM SEUS GANHOS TAMBÉM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ATUAR JUNTO COM A GESTÃO DE TRANSPORTES PARA ATUAR MAIS COM MANUTENÇÃO PREVENTIVA E CORRETIVAS PROGRAMADAS EVITANDO AS CORRETIVAS EMERGENCIAIS, HAVENDO MAIOR DISPONIBILIDADE DA FROTA.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r>
            <a:rPr lang="pt-BR" sz="1400" b="1" baseline="0">
              <a:solidFill>
                <a:sysClr val="windowText" lastClr="000000"/>
              </a:solidFill>
            </a:rPr>
            <a:t>- IDENTIFICAR OUTROS OFENSORES QUE POSSAM ESTAR PREJUDICANDO A PRODUTIVIDADE DA FROTA.</a:t>
          </a: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endParaRPr lang="pt-BR" sz="1400" b="1" baseline="0">
            <a:solidFill>
              <a:sysClr val="windowText" lastClr="000000"/>
            </a:solidFill>
          </a:endParaRPr>
        </a:p>
        <a:p>
          <a:endParaRPr lang="pt-BR" sz="1100" baseline="0"/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2C47-8B7E-488B-9447-FB2BC34F5F35}">
  <sheetPr codeName="Planilha1"/>
  <dimension ref="A1:AK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K1048576"/>
    </sheetView>
  </sheetViews>
  <sheetFormatPr defaultRowHeight="14.4"/>
  <cols>
    <col min="1" max="1" width="24.109375" customWidth="1"/>
    <col min="2" max="7" width="5.44140625" customWidth="1"/>
    <col min="8" max="8" width="5.6640625" customWidth="1"/>
    <col min="9" max="14" width="5.44140625" customWidth="1"/>
    <col min="15" max="15" width="5.6640625" customWidth="1"/>
    <col min="16" max="21" width="5.44140625" customWidth="1"/>
    <col min="22" max="22" width="5.6640625" customWidth="1"/>
    <col min="23" max="28" width="5.44140625" customWidth="1"/>
    <col min="29" max="29" width="5.6640625" customWidth="1"/>
    <col min="30" max="31" width="5.44140625" customWidth="1"/>
    <col min="32" max="32" width="5.88671875" bestFit="1" customWidth="1"/>
    <col min="33" max="33" width="5.44140625" style="142" bestFit="1" customWidth="1"/>
    <col min="34" max="34" width="10.88671875" bestFit="1" customWidth="1"/>
    <col min="35" max="35" width="5.5546875" bestFit="1" customWidth="1"/>
    <col min="36" max="36" width="12.44140625" bestFit="1" customWidth="1"/>
    <col min="37" max="37" width="13.5546875" bestFit="1" customWidth="1"/>
  </cols>
  <sheetData>
    <row r="1" spans="1:37">
      <c r="B1" s="3">
        <v>46174</v>
      </c>
      <c r="C1" s="3">
        <v>46175</v>
      </c>
      <c r="D1" s="3">
        <v>46176</v>
      </c>
      <c r="E1" s="3">
        <v>46177</v>
      </c>
      <c r="F1" s="3">
        <v>46178</v>
      </c>
      <c r="G1" s="3">
        <v>46179</v>
      </c>
      <c r="H1" s="3">
        <v>46180</v>
      </c>
      <c r="I1" s="3">
        <v>46181</v>
      </c>
      <c r="J1" s="3">
        <v>46182</v>
      </c>
      <c r="K1" s="3">
        <v>46183</v>
      </c>
      <c r="L1" s="3">
        <v>46184</v>
      </c>
      <c r="M1" s="3">
        <v>46185</v>
      </c>
      <c r="N1" s="3">
        <v>46186</v>
      </c>
      <c r="O1" s="3">
        <v>46187</v>
      </c>
      <c r="P1" s="3">
        <v>46188</v>
      </c>
      <c r="Q1" s="3">
        <v>46189</v>
      </c>
      <c r="R1" s="3">
        <v>46190</v>
      </c>
      <c r="S1" s="3">
        <v>46191</v>
      </c>
      <c r="T1" s="3">
        <v>46192</v>
      </c>
      <c r="U1" s="3">
        <v>46193</v>
      </c>
      <c r="V1" s="3">
        <v>46194</v>
      </c>
      <c r="W1" s="3">
        <v>46195</v>
      </c>
      <c r="X1" s="3">
        <v>46196</v>
      </c>
      <c r="Y1" s="3">
        <v>46197</v>
      </c>
      <c r="Z1" s="3">
        <v>46198</v>
      </c>
      <c r="AA1" s="3">
        <v>46199</v>
      </c>
      <c r="AB1" s="3">
        <v>46200</v>
      </c>
      <c r="AC1" s="3">
        <v>46201</v>
      </c>
      <c r="AD1" s="3">
        <v>46202</v>
      </c>
      <c r="AE1" s="3">
        <v>46203</v>
      </c>
      <c r="AF1" s="177" t="s">
        <v>4</v>
      </c>
      <c r="AG1" s="177" t="s">
        <v>14</v>
      </c>
      <c r="AH1" s="177" t="s">
        <v>65</v>
      </c>
      <c r="AI1" s="177" t="s">
        <v>14</v>
      </c>
      <c r="AJ1" s="178" t="s">
        <v>64</v>
      </c>
      <c r="AK1" s="178" t="s">
        <v>63</v>
      </c>
    </row>
    <row r="2" spans="1:37"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3" t="s">
        <v>49</v>
      </c>
      <c r="X2" s="3" t="s">
        <v>50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49</v>
      </c>
      <c r="AE2" s="3" t="s">
        <v>50</v>
      </c>
      <c r="AF2" s="177"/>
      <c r="AG2" s="177"/>
      <c r="AH2" s="177"/>
      <c r="AI2" s="177"/>
      <c r="AJ2" s="178"/>
      <c r="AK2" s="178"/>
    </row>
    <row r="3" spans="1:37">
      <c r="A3" s="14" t="s">
        <v>0</v>
      </c>
      <c r="B3" s="18">
        <v>15</v>
      </c>
      <c r="C3" s="18">
        <v>15</v>
      </c>
      <c r="D3" s="18">
        <v>19</v>
      </c>
      <c r="E3" s="18">
        <v>13</v>
      </c>
      <c r="F3" s="18">
        <v>13</v>
      </c>
      <c r="G3" s="18">
        <v>17</v>
      </c>
      <c r="H3" s="18">
        <v>0</v>
      </c>
      <c r="I3" s="18">
        <v>12</v>
      </c>
      <c r="J3" s="18">
        <v>16</v>
      </c>
      <c r="K3" s="18">
        <v>16</v>
      </c>
      <c r="L3" s="18">
        <v>15</v>
      </c>
      <c r="M3" s="18">
        <v>13</v>
      </c>
      <c r="N3" s="18">
        <v>15</v>
      </c>
      <c r="O3" s="18">
        <v>0</v>
      </c>
      <c r="P3" s="18">
        <v>9</v>
      </c>
      <c r="Q3" s="18">
        <v>20</v>
      </c>
      <c r="R3" s="18">
        <v>11</v>
      </c>
      <c r="S3" s="18">
        <v>15</v>
      </c>
      <c r="T3" s="18">
        <v>26</v>
      </c>
      <c r="U3" s="18">
        <v>16</v>
      </c>
      <c r="V3" s="18">
        <v>0</v>
      </c>
      <c r="W3" s="18">
        <v>10</v>
      </c>
      <c r="X3" s="18">
        <v>18</v>
      </c>
      <c r="Y3" s="18">
        <v>24</v>
      </c>
      <c r="Z3" s="18">
        <v>17</v>
      </c>
      <c r="AA3" s="18">
        <v>22</v>
      </c>
      <c r="AB3" s="18">
        <v>17</v>
      </c>
      <c r="AC3" s="18">
        <v>0</v>
      </c>
      <c r="AD3" s="18">
        <v>2</v>
      </c>
      <c r="AE3" s="18">
        <v>14</v>
      </c>
      <c r="AF3">
        <f>SUM(B3:AE3)</f>
        <v>400</v>
      </c>
      <c r="AG3" s="179">
        <f>AF3/$AF$7</f>
        <v>0.55555555555555558</v>
      </c>
      <c r="AH3" s="143">
        <f>AF3+AF4</f>
        <v>473</v>
      </c>
      <c r="AI3" s="149">
        <f>AH3/AH7</f>
        <v>0.70386904761904767</v>
      </c>
      <c r="AJ3" s="143">
        <v>47</v>
      </c>
      <c r="AK3" s="171">
        <f>AH3/AJ3</f>
        <v>10.063829787234043</v>
      </c>
    </row>
    <row r="4" spans="1:37">
      <c r="A4" s="14" t="s">
        <v>1</v>
      </c>
      <c r="B4" s="18">
        <v>3</v>
      </c>
      <c r="C4" s="18">
        <v>3</v>
      </c>
      <c r="D4" s="18">
        <v>3</v>
      </c>
      <c r="E4" s="18">
        <v>1</v>
      </c>
      <c r="F4" s="18">
        <v>3</v>
      </c>
      <c r="G4" s="18">
        <v>5</v>
      </c>
      <c r="H4" s="18">
        <v>0</v>
      </c>
      <c r="I4" s="18">
        <v>1</v>
      </c>
      <c r="J4" s="18">
        <v>4</v>
      </c>
      <c r="K4" s="18">
        <v>3</v>
      </c>
      <c r="L4" s="18">
        <v>4</v>
      </c>
      <c r="M4" s="18">
        <v>5</v>
      </c>
      <c r="N4" s="18">
        <v>1</v>
      </c>
      <c r="O4" s="18">
        <v>0</v>
      </c>
      <c r="P4" s="18">
        <v>1</v>
      </c>
      <c r="Q4" s="18">
        <v>1</v>
      </c>
      <c r="R4" s="18">
        <v>4</v>
      </c>
      <c r="S4" s="18">
        <v>3</v>
      </c>
      <c r="T4" s="18">
        <v>3</v>
      </c>
      <c r="U4" s="18">
        <v>3</v>
      </c>
      <c r="V4" s="18">
        <v>0</v>
      </c>
      <c r="W4" s="18">
        <v>1</v>
      </c>
      <c r="X4" s="18">
        <v>2</v>
      </c>
      <c r="Y4" s="18">
        <v>3</v>
      </c>
      <c r="Z4" s="18">
        <v>4</v>
      </c>
      <c r="AA4" s="18">
        <v>4</v>
      </c>
      <c r="AB4" s="18">
        <v>3</v>
      </c>
      <c r="AC4" s="18">
        <v>0</v>
      </c>
      <c r="AD4" s="18">
        <v>1</v>
      </c>
      <c r="AE4" s="18">
        <v>4</v>
      </c>
      <c r="AF4">
        <f>SUM(B4:AE4)</f>
        <v>73</v>
      </c>
      <c r="AG4" s="179">
        <f t="shared" ref="AG4:AG6" si="0">AF4/$AF$7</f>
        <v>0.10138888888888889</v>
      </c>
      <c r="AH4" s="143">
        <f>AF5</f>
        <v>199</v>
      </c>
      <c r="AI4" s="149">
        <f>AH4/AH7</f>
        <v>0.29613095238095238</v>
      </c>
      <c r="AJ4" s="143"/>
      <c r="AK4" s="143"/>
    </row>
    <row r="5" spans="1:37">
      <c r="A5" s="14" t="s">
        <v>2</v>
      </c>
      <c r="B5" s="18">
        <v>8</v>
      </c>
      <c r="C5" s="18">
        <v>8</v>
      </c>
      <c r="D5" s="18">
        <v>15</v>
      </c>
      <c r="E5" s="18">
        <v>12</v>
      </c>
      <c r="F5" s="18">
        <v>9</v>
      </c>
      <c r="G5" s="18">
        <v>11</v>
      </c>
      <c r="H5" s="18">
        <v>0</v>
      </c>
      <c r="I5" s="18">
        <v>3</v>
      </c>
      <c r="J5" s="18">
        <v>1</v>
      </c>
      <c r="K5" s="18">
        <v>7</v>
      </c>
      <c r="L5" s="18">
        <v>7</v>
      </c>
      <c r="M5" s="18">
        <v>0</v>
      </c>
      <c r="N5" s="18">
        <v>1</v>
      </c>
      <c r="O5" s="18">
        <v>0</v>
      </c>
      <c r="P5" s="18">
        <v>9</v>
      </c>
      <c r="Q5" s="18">
        <v>15</v>
      </c>
      <c r="R5" s="18">
        <v>8</v>
      </c>
      <c r="S5" s="18">
        <v>2</v>
      </c>
      <c r="T5" s="18">
        <v>5</v>
      </c>
      <c r="U5" s="18">
        <v>0</v>
      </c>
      <c r="V5" s="18">
        <v>0</v>
      </c>
      <c r="W5" s="18">
        <v>7</v>
      </c>
      <c r="X5" s="18">
        <v>9</v>
      </c>
      <c r="Y5" s="18">
        <v>4</v>
      </c>
      <c r="Z5" s="18">
        <v>10</v>
      </c>
      <c r="AA5" s="18">
        <v>8</v>
      </c>
      <c r="AB5" s="18">
        <v>7</v>
      </c>
      <c r="AC5" s="18">
        <v>0</v>
      </c>
      <c r="AD5" s="18">
        <v>17</v>
      </c>
      <c r="AE5" s="18">
        <v>16</v>
      </c>
      <c r="AF5">
        <f>SUM(B5:AE5)</f>
        <v>199</v>
      </c>
      <c r="AG5" s="179">
        <f t="shared" si="0"/>
        <v>0.27638888888888891</v>
      </c>
      <c r="AH5" s="143"/>
      <c r="AI5" s="143"/>
      <c r="AJ5" s="143"/>
      <c r="AK5" s="143"/>
    </row>
    <row r="6" spans="1:37">
      <c r="A6" s="14" t="s">
        <v>3</v>
      </c>
      <c r="B6" s="18">
        <v>1</v>
      </c>
      <c r="C6" s="18">
        <v>6</v>
      </c>
      <c r="D6" s="18">
        <v>3</v>
      </c>
      <c r="E6" s="18">
        <v>0</v>
      </c>
      <c r="F6" s="18">
        <v>0</v>
      </c>
      <c r="G6" s="18">
        <v>0</v>
      </c>
      <c r="H6" s="18">
        <v>0</v>
      </c>
      <c r="I6" s="18">
        <v>2</v>
      </c>
      <c r="J6" s="18">
        <v>3</v>
      </c>
      <c r="K6" s="18">
        <v>3</v>
      </c>
      <c r="L6" s="18">
        <v>2</v>
      </c>
      <c r="M6" s="18">
        <v>1</v>
      </c>
      <c r="N6" s="18">
        <v>0</v>
      </c>
      <c r="O6" s="18">
        <v>0</v>
      </c>
      <c r="P6" s="18">
        <v>2</v>
      </c>
      <c r="Q6" s="18">
        <v>3</v>
      </c>
      <c r="R6" s="18">
        <v>2</v>
      </c>
      <c r="S6" s="18">
        <v>2</v>
      </c>
      <c r="T6" s="18">
        <v>3</v>
      </c>
      <c r="U6" s="18">
        <v>1</v>
      </c>
      <c r="V6" s="18">
        <v>0</v>
      </c>
      <c r="W6" s="18">
        <v>3</v>
      </c>
      <c r="X6" s="18">
        <v>2</v>
      </c>
      <c r="Y6" s="18">
        <v>2</v>
      </c>
      <c r="Z6" s="18">
        <v>2</v>
      </c>
      <c r="AA6" s="18">
        <v>0</v>
      </c>
      <c r="AB6" s="18">
        <v>0</v>
      </c>
      <c r="AC6" s="18">
        <v>0</v>
      </c>
      <c r="AD6" s="18">
        <v>4</v>
      </c>
      <c r="AE6" s="18">
        <v>1</v>
      </c>
      <c r="AF6">
        <f>SUM(B6:AE6)</f>
        <v>48</v>
      </c>
      <c r="AG6" s="179">
        <f t="shared" si="0"/>
        <v>6.6666666666666666E-2</v>
      </c>
      <c r="AH6" s="143"/>
      <c r="AI6" s="143"/>
      <c r="AJ6" s="143"/>
      <c r="AK6" s="143"/>
    </row>
    <row r="7" spans="1:37">
      <c r="A7" s="15"/>
      <c r="B7" s="2">
        <f>SUM(B3:B6)</f>
        <v>27</v>
      </c>
      <c r="C7" s="2">
        <f>SUM(C3:C6)</f>
        <v>32</v>
      </c>
      <c r="D7" s="2">
        <f t="shared" ref="D7:AF7" si="1">SUM(D3:D6)</f>
        <v>40</v>
      </c>
      <c r="E7" s="2">
        <f t="shared" si="1"/>
        <v>26</v>
      </c>
      <c r="F7" s="2">
        <f t="shared" si="1"/>
        <v>25</v>
      </c>
      <c r="G7" s="2">
        <f t="shared" si="1"/>
        <v>33</v>
      </c>
      <c r="H7" s="2">
        <f t="shared" si="1"/>
        <v>0</v>
      </c>
      <c r="I7" s="2">
        <f t="shared" si="1"/>
        <v>18</v>
      </c>
      <c r="J7" s="2">
        <f t="shared" si="1"/>
        <v>24</v>
      </c>
      <c r="K7" s="2">
        <f t="shared" si="1"/>
        <v>29</v>
      </c>
      <c r="L7" s="2">
        <f t="shared" si="1"/>
        <v>28</v>
      </c>
      <c r="M7" s="2">
        <f t="shared" si="1"/>
        <v>19</v>
      </c>
      <c r="N7" s="2">
        <f t="shared" si="1"/>
        <v>17</v>
      </c>
      <c r="O7" s="2">
        <f t="shared" si="1"/>
        <v>0</v>
      </c>
      <c r="P7" s="2">
        <f t="shared" si="1"/>
        <v>21</v>
      </c>
      <c r="Q7" s="2">
        <f t="shared" si="1"/>
        <v>39</v>
      </c>
      <c r="R7" s="2">
        <f t="shared" si="1"/>
        <v>25</v>
      </c>
      <c r="S7" s="2">
        <f t="shared" si="1"/>
        <v>22</v>
      </c>
      <c r="T7" s="2">
        <f t="shared" si="1"/>
        <v>37</v>
      </c>
      <c r="U7" s="2">
        <f t="shared" si="1"/>
        <v>20</v>
      </c>
      <c r="V7" s="2">
        <f t="shared" si="1"/>
        <v>0</v>
      </c>
      <c r="W7" s="2">
        <f t="shared" si="1"/>
        <v>21</v>
      </c>
      <c r="X7" s="2">
        <f t="shared" si="1"/>
        <v>31</v>
      </c>
      <c r="Y7" s="2">
        <f t="shared" si="1"/>
        <v>33</v>
      </c>
      <c r="Z7" s="2">
        <f t="shared" si="1"/>
        <v>33</v>
      </c>
      <c r="AA7" s="2">
        <f t="shared" si="1"/>
        <v>34</v>
      </c>
      <c r="AB7" s="2">
        <f t="shared" si="1"/>
        <v>27</v>
      </c>
      <c r="AC7" s="2">
        <f t="shared" si="1"/>
        <v>0</v>
      </c>
      <c r="AD7" s="2">
        <f t="shared" si="1"/>
        <v>24</v>
      </c>
      <c r="AE7" s="2">
        <f t="shared" si="1"/>
        <v>35</v>
      </c>
      <c r="AF7" s="2">
        <f t="shared" si="1"/>
        <v>720</v>
      </c>
      <c r="AG7" s="153">
        <f>SUM(AG3:AG6)</f>
        <v>1</v>
      </c>
      <c r="AH7" s="2">
        <f>SUM(AH3:AH6)</f>
        <v>672</v>
      </c>
      <c r="AI7" s="153">
        <f>SUM(AI3:AI4)</f>
        <v>1</v>
      </c>
      <c r="AJ7" s="143"/>
      <c r="AK7" s="143"/>
    </row>
    <row r="8" spans="1:37">
      <c r="A8" s="14" t="s">
        <v>0</v>
      </c>
      <c r="B8" s="5">
        <f t="shared" ref="B8:AF8" si="2">B3/B$7</f>
        <v>0.55555555555555558</v>
      </c>
      <c r="C8" s="5">
        <f t="shared" si="2"/>
        <v>0.46875</v>
      </c>
      <c r="D8" s="5">
        <f t="shared" si="2"/>
        <v>0.47499999999999998</v>
      </c>
      <c r="E8" s="5">
        <f t="shared" si="2"/>
        <v>0.5</v>
      </c>
      <c r="F8" s="5">
        <f t="shared" si="2"/>
        <v>0.52</v>
      </c>
      <c r="G8" s="5">
        <f t="shared" si="2"/>
        <v>0.51515151515151514</v>
      </c>
      <c r="H8" s="5" t="e">
        <f t="shared" si="2"/>
        <v>#DIV/0!</v>
      </c>
      <c r="I8" s="5">
        <f t="shared" si="2"/>
        <v>0.66666666666666663</v>
      </c>
      <c r="J8" s="5">
        <f t="shared" si="2"/>
        <v>0.66666666666666663</v>
      </c>
      <c r="K8" s="5">
        <f t="shared" si="2"/>
        <v>0.55172413793103448</v>
      </c>
      <c r="L8" s="5">
        <f t="shared" si="2"/>
        <v>0.5357142857142857</v>
      </c>
      <c r="M8" s="5">
        <f t="shared" si="2"/>
        <v>0.68421052631578949</v>
      </c>
      <c r="N8" s="5">
        <f t="shared" si="2"/>
        <v>0.88235294117647056</v>
      </c>
      <c r="O8" s="5" t="e">
        <f t="shared" si="2"/>
        <v>#DIV/0!</v>
      </c>
      <c r="P8" s="5">
        <f t="shared" si="2"/>
        <v>0.42857142857142855</v>
      </c>
      <c r="Q8" s="5">
        <f t="shared" si="2"/>
        <v>0.51282051282051277</v>
      </c>
      <c r="R8" s="5">
        <f t="shared" si="2"/>
        <v>0.44</v>
      </c>
      <c r="S8" s="5">
        <f t="shared" si="2"/>
        <v>0.68181818181818177</v>
      </c>
      <c r="T8" s="5">
        <f t="shared" si="2"/>
        <v>0.70270270270270274</v>
      </c>
      <c r="U8" s="5">
        <f t="shared" si="2"/>
        <v>0.8</v>
      </c>
      <c r="V8" s="5" t="e">
        <f t="shared" si="2"/>
        <v>#DIV/0!</v>
      </c>
      <c r="W8" s="5">
        <f t="shared" si="2"/>
        <v>0.47619047619047616</v>
      </c>
      <c r="X8" s="5">
        <f t="shared" si="2"/>
        <v>0.58064516129032262</v>
      </c>
      <c r="Y8" s="5">
        <f t="shared" si="2"/>
        <v>0.72727272727272729</v>
      </c>
      <c r="Z8" s="5">
        <f t="shared" si="2"/>
        <v>0.51515151515151514</v>
      </c>
      <c r="AA8" s="5">
        <f t="shared" si="2"/>
        <v>0.6470588235294118</v>
      </c>
      <c r="AB8" s="5">
        <f t="shared" si="2"/>
        <v>0.62962962962962965</v>
      </c>
      <c r="AC8" s="5" t="e">
        <f t="shared" si="2"/>
        <v>#DIV/0!</v>
      </c>
      <c r="AD8" s="5">
        <f t="shared" si="2"/>
        <v>8.3333333333333329E-2</v>
      </c>
      <c r="AE8" s="5">
        <f t="shared" si="2"/>
        <v>0.4</v>
      </c>
      <c r="AF8" s="8">
        <f t="shared" si="2"/>
        <v>0.55555555555555558</v>
      </c>
    </row>
    <row r="9" spans="1:37">
      <c r="A9" s="14" t="s">
        <v>1</v>
      </c>
      <c r="B9" s="5">
        <f>B4/B$7</f>
        <v>0.1111111111111111</v>
      </c>
      <c r="C9" s="5">
        <f t="shared" ref="C9:AF9" si="3">C4/C$7</f>
        <v>9.375E-2</v>
      </c>
      <c r="D9" s="5">
        <f t="shared" si="3"/>
        <v>7.4999999999999997E-2</v>
      </c>
      <c r="E9" s="5">
        <f t="shared" si="3"/>
        <v>3.8461538461538464E-2</v>
      </c>
      <c r="F9" s="5">
        <f t="shared" si="3"/>
        <v>0.12</v>
      </c>
      <c r="G9" s="5">
        <f t="shared" si="3"/>
        <v>0.15151515151515152</v>
      </c>
      <c r="H9" s="5" t="e">
        <f t="shared" si="3"/>
        <v>#DIV/0!</v>
      </c>
      <c r="I9" s="5">
        <f t="shared" si="3"/>
        <v>5.5555555555555552E-2</v>
      </c>
      <c r="J9" s="5">
        <f t="shared" si="3"/>
        <v>0.16666666666666666</v>
      </c>
      <c r="K9" s="5">
        <f t="shared" si="3"/>
        <v>0.10344827586206896</v>
      </c>
      <c r="L9" s="5">
        <f t="shared" si="3"/>
        <v>0.14285714285714285</v>
      </c>
      <c r="M9" s="5">
        <f t="shared" si="3"/>
        <v>0.26315789473684209</v>
      </c>
      <c r="N9" s="5">
        <f t="shared" si="3"/>
        <v>5.8823529411764705E-2</v>
      </c>
      <c r="O9" s="5" t="e">
        <f t="shared" si="3"/>
        <v>#DIV/0!</v>
      </c>
      <c r="P9" s="5">
        <f t="shared" si="3"/>
        <v>4.7619047619047616E-2</v>
      </c>
      <c r="Q9" s="5">
        <f t="shared" si="3"/>
        <v>2.564102564102564E-2</v>
      </c>
      <c r="R9" s="5">
        <f t="shared" si="3"/>
        <v>0.16</v>
      </c>
      <c r="S9" s="5">
        <f t="shared" si="3"/>
        <v>0.13636363636363635</v>
      </c>
      <c r="T9" s="5">
        <f t="shared" si="3"/>
        <v>8.1081081081081086E-2</v>
      </c>
      <c r="U9" s="5">
        <f t="shared" si="3"/>
        <v>0.15</v>
      </c>
      <c r="V9" s="5" t="e">
        <f t="shared" si="3"/>
        <v>#DIV/0!</v>
      </c>
      <c r="W9" s="5">
        <f t="shared" si="3"/>
        <v>4.7619047619047616E-2</v>
      </c>
      <c r="X9" s="5">
        <f t="shared" si="3"/>
        <v>6.4516129032258063E-2</v>
      </c>
      <c r="Y9" s="5">
        <f t="shared" si="3"/>
        <v>9.0909090909090912E-2</v>
      </c>
      <c r="Z9" s="5">
        <f t="shared" si="3"/>
        <v>0.12121212121212122</v>
      </c>
      <c r="AA9" s="5">
        <f t="shared" si="3"/>
        <v>0.11764705882352941</v>
      </c>
      <c r="AB9" s="5">
        <f t="shared" si="3"/>
        <v>0.1111111111111111</v>
      </c>
      <c r="AC9" s="5" t="e">
        <f t="shared" si="3"/>
        <v>#DIV/0!</v>
      </c>
      <c r="AD9" s="5">
        <f t="shared" si="3"/>
        <v>4.1666666666666664E-2</v>
      </c>
      <c r="AE9" s="5">
        <f t="shared" si="3"/>
        <v>0.11428571428571428</v>
      </c>
      <c r="AF9" s="8">
        <f t="shared" si="3"/>
        <v>0.10138888888888889</v>
      </c>
    </row>
    <row r="10" spans="1:37">
      <c r="A10" s="14" t="s">
        <v>2</v>
      </c>
      <c r="B10" s="5">
        <f>B5/B$7</f>
        <v>0.29629629629629628</v>
      </c>
      <c r="C10" s="5">
        <f t="shared" ref="C10:AF10" si="4">C5/C$7</f>
        <v>0.25</v>
      </c>
      <c r="D10" s="5">
        <f t="shared" si="4"/>
        <v>0.375</v>
      </c>
      <c r="E10" s="5">
        <f t="shared" si="4"/>
        <v>0.46153846153846156</v>
      </c>
      <c r="F10" s="5">
        <f t="shared" si="4"/>
        <v>0.36</v>
      </c>
      <c r="G10" s="5">
        <f t="shared" si="4"/>
        <v>0.33333333333333331</v>
      </c>
      <c r="H10" s="5" t="e">
        <f t="shared" si="4"/>
        <v>#DIV/0!</v>
      </c>
      <c r="I10" s="5">
        <f t="shared" si="4"/>
        <v>0.16666666666666666</v>
      </c>
      <c r="J10" s="5">
        <f t="shared" si="4"/>
        <v>4.1666666666666664E-2</v>
      </c>
      <c r="K10" s="5">
        <f t="shared" si="4"/>
        <v>0.2413793103448276</v>
      </c>
      <c r="L10" s="5">
        <f t="shared" si="4"/>
        <v>0.25</v>
      </c>
      <c r="M10" s="5">
        <f t="shared" si="4"/>
        <v>0</v>
      </c>
      <c r="N10" s="5">
        <f t="shared" si="4"/>
        <v>5.8823529411764705E-2</v>
      </c>
      <c r="O10" s="5" t="e">
        <f t="shared" si="4"/>
        <v>#DIV/0!</v>
      </c>
      <c r="P10" s="5">
        <f t="shared" si="4"/>
        <v>0.42857142857142855</v>
      </c>
      <c r="Q10" s="5">
        <f t="shared" si="4"/>
        <v>0.38461538461538464</v>
      </c>
      <c r="R10" s="5">
        <f t="shared" si="4"/>
        <v>0.32</v>
      </c>
      <c r="S10" s="5">
        <f t="shared" si="4"/>
        <v>9.0909090909090912E-2</v>
      </c>
      <c r="T10" s="5">
        <f t="shared" si="4"/>
        <v>0.13513513513513514</v>
      </c>
      <c r="U10" s="5">
        <f t="shared" si="4"/>
        <v>0</v>
      </c>
      <c r="V10" s="5" t="e">
        <f t="shared" si="4"/>
        <v>#DIV/0!</v>
      </c>
      <c r="W10" s="5">
        <f t="shared" si="4"/>
        <v>0.33333333333333331</v>
      </c>
      <c r="X10" s="5">
        <f t="shared" si="4"/>
        <v>0.29032258064516131</v>
      </c>
      <c r="Y10" s="5">
        <f t="shared" si="4"/>
        <v>0.12121212121212122</v>
      </c>
      <c r="Z10" s="5">
        <f t="shared" si="4"/>
        <v>0.30303030303030304</v>
      </c>
      <c r="AA10" s="5">
        <f t="shared" si="4"/>
        <v>0.23529411764705882</v>
      </c>
      <c r="AB10" s="5">
        <f t="shared" si="4"/>
        <v>0.25925925925925924</v>
      </c>
      <c r="AC10" s="5" t="e">
        <f t="shared" si="4"/>
        <v>#DIV/0!</v>
      </c>
      <c r="AD10" s="5">
        <f t="shared" si="4"/>
        <v>0.70833333333333337</v>
      </c>
      <c r="AE10" s="5">
        <f t="shared" si="4"/>
        <v>0.45714285714285713</v>
      </c>
      <c r="AF10" s="8">
        <f t="shared" si="4"/>
        <v>0.27638888888888891</v>
      </c>
    </row>
    <row r="11" spans="1:37">
      <c r="A11" s="14" t="s">
        <v>3</v>
      </c>
      <c r="B11" s="5">
        <f>B6/B$7</f>
        <v>3.7037037037037035E-2</v>
      </c>
      <c r="C11" s="5">
        <f t="shared" ref="C11:AF11" si="5">C6/C$7</f>
        <v>0.1875</v>
      </c>
      <c r="D11" s="5">
        <f t="shared" si="5"/>
        <v>7.4999999999999997E-2</v>
      </c>
      <c r="E11" s="5">
        <f t="shared" si="5"/>
        <v>0</v>
      </c>
      <c r="F11" s="5">
        <f t="shared" si="5"/>
        <v>0</v>
      </c>
      <c r="G11" s="5">
        <f t="shared" si="5"/>
        <v>0</v>
      </c>
      <c r="H11" s="5" t="e">
        <f t="shared" si="5"/>
        <v>#DIV/0!</v>
      </c>
      <c r="I11" s="5">
        <f t="shared" si="5"/>
        <v>0.1111111111111111</v>
      </c>
      <c r="J11" s="5">
        <f t="shared" si="5"/>
        <v>0.125</v>
      </c>
      <c r="K11" s="5">
        <f t="shared" si="5"/>
        <v>0.10344827586206896</v>
      </c>
      <c r="L11" s="5">
        <f t="shared" si="5"/>
        <v>7.1428571428571425E-2</v>
      </c>
      <c r="M11" s="5">
        <f t="shared" si="5"/>
        <v>5.2631578947368418E-2</v>
      </c>
      <c r="N11" s="5">
        <f t="shared" si="5"/>
        <v>0</v>
      </c>
      <c r="O11" s="5" t="e">
        <f t="shared" si="5"/>
        <v>#DIV/0!</v>
      </c>
      <c r="P11" s="5">
        <f t="shared" si="5"/>
        <v>9.5238095238095233E-2</v>
      </c>
      <c r="Q11" s="5">
        <f t="shared" si="5"/>
        <v>7.6923076923076927E-2</v>
      </c>
      <c r="R11" s="5">
        <f t="shared" si="5"/>
        <v>0.08</v>
      </c>
      <c r="S11" s="5">
        <f t="shared" si="5"/>
        <v>9.0909090909090912E-2</v>
      </c>
      <c r="T11" s="5">
        <f t="shared" si="5"/>
        <v>8.1081081081081086E-2</v>
      </c>
      <c r="U11" s="5">
        <f t="shared" si="5"/>
        <v>0.05</v>
      </c>
      <c r="V11" s="5" t="e">
        <f t="shared" si="5"/>
        <v>#DIV/0!</v>
      </c>
      <c r="W11" s="5">
        <f t="shared" si="5"/>
        <v>0.14285714285714285</v>
      </c>
      <c r="X11" s="5">
        <f t="shared" si="5"/>
        <v>6.4516129032258063E-2</v>
      </c>
      <c r="Y11" s="5">
        <f t="shared" si="5"/>
        <v>6.0606060606060608E-2</v>
      </c>
      <c r="Z11" s="5">
        <f t="shared" si="5"/>
        <v>6.0606060606060608E-2</v>
      </c>
      <c r="AA11" s="5">
        <f t="shared" si="5"/>
        <v>0</v>
      </c>
      <c r="AB11" s="5">
        <f t="shared" si="5"/>
        <v>0</v>
      </c>
      <c r="AC11" s="5" t="e">
        <f t="shared" si="5"/>
        <v>#DIV/0!</v>
      </c>
      <c r="AD11" s="5">
        <f t="shared" si="5"/>
        <v>0.16666666666666666</v>
      </c>
      <c r="AE11" s="5">
        <f t="shared" si="5"/>
        <v>2.8571428571428571E-2</v>
      </c>
      <c r="AF11" s="8">
        <f t="shared" si="5"/>
        <v>6.6666666666666666E-2</v>
      </c>
    </row>
    <row r="12" spans="1:37">
      <c r="A12" s="16"/>
      <c r="B12" s="6">
        <f>SUM(B8:B11)</f>
        <v>1</v>
      </c>
      <c r="C12" s="6">
        <f t="shared" ref="C12:AF12" si="6">SUM(C8:C11)</f>
        <v>1</v>
      </c>
      <c r="D12" s="6">
        <f t="shared" si="6"/>
        <v>0.99999999999999989</v>
      </c>
      <c r="E12" s="6">
        <f t="shared" si="6"/>
        <v>1</v>
      </c>
      <c r="F12" s="6">
        <f t="shared" si="6"/>
        <v>1</v>
      </c>
      <c r="G12" s="6">
        <f t="shared" si="6"/>
        <v>1</v>
      </c>
      <c r="H12" s="6" t="e">
        <f t="shared" si="6"/>
        <v>#DIV/0!</v>
      </c>
      <c r="I12" s="6">
        <f t="shared" si="6"/>
        <v>1</v>
      </c>
      <c r="J12" s="6">
        <f t="shared" si="6"/>
        <v>0.99999999999999989</v>
      </c>
      <c r="K12" s="6">
        <f t="shared" si="6"/>
        <v>1</v>
      </c>
      <c r="L12" s="6">
        <f t="shared" si="6"/>
        <v>1</v>
      </c>
      <c r="M12" s="6">
        <f t="shared" si="6"/>
        <v>1</v>
      </c>
      <c r="N12" s="6">
        <f t="shared" si="6"/>
        <v>1</v>
      </c>
      <c r="O12" s="6" t="e">
        <f t="shared" si="6"/>
        <v>#DIV/0!</v>
      </c>
      <c r="P12" s="6">
        <f t="shared" si="6"/>
        <v>0.99999999999999989</v>
      </c>
      <c r="Q12" s="6">
        <f t="shared" si="6"/>
        <v>1</v>
      </c>
      <c r="R12" s="6">
        <f t="shared" si="6"/>
        <v>0.99999999999999989</v>
      </c>
      <c r="S12" s="6">
        <f t="shared" si="6"/>
        <v>1</v>
      </c>
      <c r="T12" s="6">
        <f t="shared" si="6"/>
        <v>1</v>
      </c>
      <c r="U12" s="6">
        <f t="shared" si="6"/>
        <v>1</v>
      </c>
      <c r="V12" s="6" t="e">
        <f t="shared" si="6"/>
        <v>#DIV/0!</v>
      </c>
      <c r="W12" s="6">
        <f t="shared" si="6"/>
        <v>0.99999999999999978</v>
      </c>
      <c r="X12" s="6">
        <f t="shared" si="6"/>
        <v>1</v>
      </c>
      <c r="Y12" s="6">
        <f t="shared" si="6"/>
        <v>1</v>
      </c>
      <c r="Z12" s="6">
        <f t="shared" si="6"/>
        <v>1</v>
      </c>
      <c r="AA12" s="6">
        <f t="shared" si="6"/>
        <v>1</v>
      </c>
      <c r="AB12" s="6">
        <f t="shared" si="6"/>
        <v>1</v>
      </c>
      <c r="AC12" s="6" t="e">
        <f t="shared" si="6"/>
        <v>#DIV/0!</v>
      </c>
      <c r="AD12" s="6">
        <f t="shared" si="6"/>
        <v>1</v>
      </c>
      <c r="AE12" s="6">
        <f t="shared" si="6"/>
        <v>1</v>
      </c>
      <c r="AF12" s="9">
        <f t="shared" si="6"/>
        <v>1</v>
      </c>
    </row>
    <row r="13" spans="1:37">
      <c r="A13" s="14" t="s">
        <v>0</v>
      </c>
      <c r="B13" s="4">
        <v>15</v>
      </c>
      <c r="C13" s="4">
        <f>B13+C3</f>
        <v>30</v>
      </c>
      <c r="D13" s="4">
        <f>C13+D3</f>
        <v>49</v>
      </c>
      <c r="E13" s="4">
        <f t="shared" ref="E13:AE13" si="7">D13+E3</f>
        <v>62</v>
      </c>
      <c r="F13" s="4">
        <f t="shared" si="7"/>
        <v>75</v>
      </c>
      <c r="G13" s="4">
        <f t="shared" si="7"/>
        <v>92</v>
      </c>
      <c r="H13" s="4">
        <f t="shared" si="7"/>
        <v>92</v>
      </c>
      <c r="I13" s="4">
        <f t="shared" si="7"/>
        <v>104</v>
      </c>
      <c r="J13" s="4">
        <f t="shared" si="7"/>
        <v>120</v>
      </c>
      <c r="K13" s="4">
        <f t="shared" si="7"/>
        <v>136</v>
      </c>
      <c r="L13" s="4">
        <f t="shared" si="7"/>
        <v>151</v>
      </c>
      <c r="M13" s="4">
        <f t="shared" si="7"/>
        <v>164</v>
      </c>
      <c r="N13" s="4">
        <f t="shared" si="7"/>
        <v>179</v>
      </c>
      <c r="O13" s="4">
        <f t="shared" si="7"/>
        <v>179</v>
      </c>
      <c r="P13" s="4">
        <f t="shared" si="7"/>
        <v>188</v>
      </c>
      <c r="Q13" s="4">
        <f t="shared" si="7"/>
        <v>208</v>
      </c>
      <c r="R13" s="4">
        <f t="shared" si="7"/>
        <v>219</v>
      </c>
      <c r="S13" s="4">
        <f t="shared" si="7"/>
        <v>234</v>
      </c>
      <c r="T13" s="4">
        <f t="shared" si="7"/>
        <v>260</v>
      </c>
      <c r="U13" s="4">
        <f t="shared" si="7"/>
        <v>276</v>
      </c>
      <c r="V13" s="4">
        <f t="shared" si="7"/>
        <v>276</v>
      </c>
      <c r="W13" s="4">
        <f t="shared" si="7"/>
        <v>286</v>
      </c>
      <c r="X13" s="4">
        <f t="shared" si="7"/>
        <v>304</v>
      </c>
      <c r="Y13" s="4">
        <f t="shared" si="7"/>
        <v>328</v>
      </c>
      <c r="Z13" s="4">
        <f t="shared" si="7"/>
        <v>345</v>
      </c>
      <c r="AA13" s="4">
        <f t="shared" si="7"/>
        <v>367</v>
      </c>
      <c r="AB13" s="4">
        <f t="shared" si="7"/>
        <v>384</v>
      </c>
      <c r="AC13" s="4">
        <f t="shared" si="7"/>
        <v>384</v>
      </c>
      <c r="AD13" s="4">
        <f t="shared" si="7"/>
        <v>386</v>
      </c>
      <c r="AE13" s="4">
        <f t="shared" si="7"/>
        <v>400</v>
      </c>
    </row>
    <row r="14" spans="1:37">
      <c r="A14" s="14" t="s">
        <v>1</v>
      </c>
      <c r="B14" s="4">
        <v>3</v>
      </c>
      <c r="C14" s="4">
        <f>B14+C4</f>
        <v>6</v>
      </c>
      <c r="D14" s="4">
        <f t="shared" ref="D14:AE14" si="8">C14+D4</f>
        <v>9</v>
      </c>
      <c r="E14" s="4">
        <f t="shared" si="8"/>
        <v>10</v>
      </c>
      <c r="F14" s="4">
        <f t="shared" si="8"/>
        <v>13</v>
      </c>
      <c r="G14" s="4">
        <f t="shared" si="8"/>
        <v>18</v>
      </c>
      <c r="H14" s="4">
        <f t="shared" si="8"/>
        <v>18</v>
      </c>
      <c r="I14" s="4">
        <f t="shared" si="8"/>
        <v>19</v>
      </c>
      <c r="J14" s="4">
        <f t="shared" si="8"/>
        <v>23</v>
      </c>
      <c r="K14" s="4">
        <f t="shared" si="8"/>
        <v>26</v>
      </c>
      <c r="L14" s="4">
        <f t="shared" si="8"/>
        <v>30</v>
      </c>
      <c r="M14" s="4">
        <f t="shared" si="8"/>
        <v>35</v>
      </c>
      <c r="N14" s="4">
        <f t="shared" si="8"/>
        <v>36</v>
      </c>
      <c r="O14" s="4">
        <f t="shared" si="8"/>
        <v>36</v>
      </c>
      <c r="P14" s="4">
        <f t="shared" si="8"/>
        <v>37</v>
      </c>
      <c r="Q14" s="4">
        <f t="shared" si="8"/>
        <v>38</v>
      </c>
      <c r="R14" s="4">
        <f t="shared" si="8"/>
        <v>42</v>
      </c>
      <c r="S14" s="4">
        <f t="shared" si="8"/>
        <v>45</v>
      </c>
      <c r="T14" s="4">
        <f t="shared" si="8"/>
        <v>48</v>
      </c>
      <c r="U14" s="4">
        <f t="shared" si="8"/>
        <v>51</v>
      </c>
      <c r="V14" s="4">
        <f t="shared" si="8"/>
        <v>51</v>
      </c>
      <c r="W14" s="4">
        <f t="shared" si="8"/>
        <v>52</v>
      </c>
      <c r="X14" s="4">
        <f t="shared" si="8"/>
        <v>54</v>
      </c>
      <c r="Y14" s="4">
        <f t="shared" si="8"/>
        <v>57</v>
      </c>
      <c r="Z14" s="4">
        <f t="shared" si="8"/>
        <v>61</v>
      </c>
      <c r="AA14" s="4">
        <f t="shared" si="8"/>
        <v>65</v>
      </c>
      <c r="AB14" s="4">
        <f t="shared" si="8"/>
        <v>68</v>
      </c>
      <c r="AC14" s="4">
        <f t="shared" si="8"/>
        <v>68</v>
      </c>
      <c r="AD14" s="4">
        <f t="shared" si="8"/>
        <v>69</v>
      </c>
      <c r="AE14" s="4">
        <f t="shared" si="8"/>
        <v>73</v>
      </c>
    </row>
    <row r="15" spans="1:37">
      <c r="A15" s="14" t="s">
        <v>2</v>
      </c>
      <c r="B15" s="4">
        <v>8</v>
      </c>
      <c r="C15" s="4">
        <f>B15+C5</f>
        <v>16</v>
      </c>
      <c r="D15" s="4">
        <f t="shared" ref="D15:AE15" si="9">C15+D5</f>
        <v>31</v>
      </c>
      <c r="E15" s="4">
        <f t="shared" si="9"/>
        <v>43</v>
      </c>
      <c r="F15" s="4">
        <f t="shared" si="9"/>
        <v>52</v>
      </c>
      <c r="G15" s="4">
        <f t="shared" si="9"/>
        <v>63</v>
      </c>
      <c r="H15" s="4">
        <f t="shared" si="9"/>
        <v>63</v>
      </c>
      <c r="I15" s="4">
        <f t="shared" si="9"/>
        <v>66</v>
      </c>
      <c r="J15" s="4">
        <f t="shared" si="9"/>
        <v>67</v>
      </c>
      <c r="K15" s="4">
        <f t="shared" si="9"/>
        <v>74</v>
      </c>
      <c r="L15" s="4">
        <f t="shared" si="9"/>
        <v>81</v>
      </c>
      <c r="M15" s="4">
        <f t="shared" si="9"/>
        <v>81</v>
      </c>
      <c r="N15" s="4">
        <f t="shared" si="9"/>
        <v>82</v>
      </c>
      <c r="O15" s="4">
        <f t="shared" si="9"/>
        <v>82</v>
      </c>
      <c r="P15" s="4">
        <f t="shared" si="9"/>
        <v>91</v>
      </c>
      <c r="Q15" s="4">
        <f t="shared" si="9"/>
        <v>106</v>
      </c>
      <c r="R15" s="4">
        <f t="shared" si="9"/>
        <v>114</v>
      </c>
      <c r="S15" s="4">
        <f t="shared" si="9"/>
        <v>116</v>
      </c>
      <c r="T15" s="4">
        <f t="shared" si="9"/>
        <v>121</v>
      </c>
      <c r="U15" s="4">
        <f t="shared" si="9"/>
        <v>121</v>
      </c>
      <c r="V15" s="4">
        <f t="shared" si="9"/>
        <v>121</v>
      </c>
      <c r="W15" s="4">
        <f t="shared" si="9"/>
        <v>128</v>
      </c>
      <c r="X15" s="4">
        <f t="shared" si="9"/>
        <v>137</v>
      </c>
      <c r="Y15" s="4">
        <f t="shared" si="9"/>
        <v>141</v>
      </c>
      <c r="Z15" s="4">
        <f t="shared" si="9"/>
        <v>151</v>
      </c>
      <c r="AA15" s="4">
        <f t="shared" si="9"/>
        <v>159</v>
      </c>
      <c r="AB15" s="4">
        <f t="shared" si="9"/>
        <v>166</v>
      </c>
      <c r="AC15" s="4">
        <f t="shared" si="9"/>
        <v>166</v>
      </c>
      <c r="AD15" s="4">
        <f t="shared" si="9"/>
        <v>183</v>
      </c>
      <c r="AE15" s="4">
        <f t="shared" si="9"/>
        <v>199</v>
      </c>
    </row>
    <row r="16" spans="1:37">
      <c r="A16" s="14" t="s">
        <v>3</v>
      </c>
      <c r="B16" s="4">
        <v>1</v>
      </c>
      <c r="C16" s="4">
        <f>B16+C6</f>
        <v>7</v>
      </c>
      <c r="D16" s="4">
        <f t="shared" ref="D16:AE16" si="10">C16+D6</f>
        <v>10</v>
      </c>
      <c r="E16" s="4">
        <f t="shared" si="10"/>
        <v>10</v>
      </c>
      <c r="F16" s="4">
        <f t="shared" si="10"/>
        <v>10</v>
      </c>
      <c r="G16" s="4">
        <f t="shared" si="10"/>
        <v>10</v>
      </c>
      <c r="H16" s="4">
        <f t="shared" si="10"/>
        <v>10</v>
      </c>
      <c r="I16" s="4">
        <f t="shared" si="10"/>
        <v>12</v>
      </c>
      <c r="J16" s="4">
        <f t="shared" si="10"/>
        <v>15</v>
      </c>
      <c r="K16" s="4">
        <f t="shared" si="10"/>
        <v>18</v>
      </c>
      <c r="L16" s="4">
        <f t="shared" si="10"/>
        <v>20</v>
      </c>
      <c r="M16" s="4">
        <f t="shared" si="10"/>
        <v>21</v>
      </c>
      <c r="N16" s="4">
        <f t="shared" si="10"/>
        <v>21</v>
      </c>
      <c r="O16" s="4">
        <f t="shared" si="10"/>
        <v>21</v>
      </c>
      <c r="P16" s="4">
        <f t="shared" si="10"/>
        <v>23</v>
      </c>
      <c r="Q16" s="4">
        <f t="shared" si="10"/>
        <v>26</v>
      </c>
      <c r="R16" s="4">
        <f t="shared" si="10"/>
        <v>28</v>
      </c>
      <c r="S16" s="4">
        <f t="shared" si="10"/>
        <v>30</v>
      </c>
      <c r="T16" s="4">
        <f t="shared" si="10"/>
        <v>33</v>
      </c>
      <c r="U16" s="4">
        <f t="shared" si="10"/>
        <v>34</v>
      </c>
      <c r="V16" s="4">
        <f t="shared" si="10"/>
        <v>34</v>
      </c>
      <c r="W16" s="4">
        <f t="shared" si="10"/>
        <v>37</v>
      </c>
      <c r="X16" s="4">
        <f t="shared" si="10"/>
        <v>39</v>
      </c>
      <c r="Y16" s="4">
        <f t="shared" si="10"/>
        <v>41</v>
      </c>
      <c r="Z16" s="4">
        <f t="shared" si="10"/>
        <v>43</v>
      </c>
      <c r="AA16" s="4">
        <f t="shared" si="10"/>
        <v>43</v>
      </c>
      <c r="AB16" s="4">
        <f t="shared" si="10"/>
        <v>43</v>
      </c>
      <c r="AC16" s="4">
        <f t="shared" si="10"/>
        <v>43</v>
      </c>
      <c r="AD16" s="4">
        <f t="shared" si="10"/>
        <v>47</v>
      </c>
      <c r="AE16" s="4">
        <f t="shared" si="10"/>
        <v>48</v>
      </c>
    </row>
    <row r="17" spans="1:32">
      <c r="A17" s="16"/>
      <c r="B17" s="13">
        <f>SUM(B13:B16)</f>
        <v>27</v>
      </c>
      <c r="C17" s="13">
        <f t="shared" ref="C17:N17" si="11">SUM(C13:C16)</f>
        <v>59</v>
      </c>
      <c r="D17" s="13">
        <f t="shared" si="11"/>
        <v>99</v>
      </c>
      <c r="E17" s="13">
        <f t="shared" si="11"/>
        <v>125</v>
      </c>
      <c r="F17" s="13">
        <f t="shared" si="11"/>
        <v>150</v>
      </c>
      <c r="G17" s="13">
        <f t="shared" si="11"/>
        <v>183</v>
      </c>
      <c r="H17" s="13">
        <f t="shared" si="11"/>
        <v>183</v>
      </c>
      <c r="I17" s="13">
        <f t="shared" si="11"/>
        <v>201</v>
      </c>
      <c r="J17" s="13">
        <f t="shared" si="11"/>
        <v>225</v>
      </c>
      <c r="K17" s="13">
        <f t="shared" si="11"/>
        <v>254</v>
      </c>
      <c r="L17" s="13">
        <f t="shared" si="11"/>
        <v>282</v>
      </c>
      <c r="M17" s="13">
        <f t="shared" si="11"/>
        <v>301</v>
      </c>
      <c r="N17" s="13">
        <f t="shared" si="11"/>
        <v>318</v>
      </c>
      <c r="O17" s="13">
        <f t="shared" ref="O17:AE17" si="12">SUM(O13:O16)</f>
        <v>318</v>
      </c>
      <c r="P17" s="13">
        <f t="shared" si="12"/>
        <v>339</v>
      </c>
      <c r="Q17" s="13">
        <f t="shared" si="12"/>
        <v>378</v>
      </c>
      <c r="R17" s="13">
        <f t="shared" si="12"/>
        <v>403</v>
      </c>
      <c r="S17" s="13">
        <f t="shared" si="12"/>
        <v>425</v>
      </c>
      <c r="T17" s="13">
        <f t="shared" si="12"/>
        <v>462</v>
      </c>
      <c r="U17" s="13">
        <f t="shared" si="12"/>
        <v>482</v>
      </c>
      <c r="V17" s="13">
        <f t="shared" si="12"/>
        <v>482</v>
      </c>
      <c r="W17" s="13">
        <f t="shared" si="12"/>
        <v>503</v>
      </c>
      <c r="X17" s="13">
        <f t="shared" si="12"/>
        <v>534</v>
      </c>
      <c r="Y17" s="13">
        <f t="shared" si="12"/>
        <v>567</v>
      </c>
      <c r="Z17" s="13">
        <f t="shared" si="12"/>
        <v>600</v>
      </c>
      <c r="AA17" s="13">
        <f t="shared" si="12"/>
        <v>634</v>
      </c>
      <c r="AB17" s="13">
        <f t="shared" si="12"/>
        <v>661</v>
      </c>
      <c r="AC17" s="13">
        <f t="shared" si="12"/>
        <v>661</v>
      </c>
      <c r="AD17" s="13">
        <f t="shared" si="12"/>
        <v>685</v>
      </c>
      <c r="AE17" s="13">
        <f t="shared" si="12"/>
        <v>720</v>
      </c>
    </row>
    <row r="18" spans="1:32">
      <c r="A18" s="14" t="s">
        <v>0</v>
      </c>
      <c r="B18" s="11">
        <f>B13/B$17</f>
        <v>0.55555555555555558</v>
      </c>
      <c r="C18" s="11">
        <f t="shared" ref="C18:AE18" si="13">C13/C17</f>
        <v>0.50847457627118642</v>
      </c>
      <c r="D18" s="11">
        <f t="shared" si="13"/>
        <v>0.49494949494949497</v>
      </c>
      <c r="E18" s="11">
        <f t="shared" si="13"/>
        <v>0.496</v>
      </c>
      <c r="F18" s="11">
        <f t="shared" si="13"/>
        <v>0.5</v>
      </c>
      <c r="G18" s="11">
        <f t="shared" si="13"/>
        <v>0.50273224043715847</v>
      </c>
      <c r="H18" s="11">
        <f t="shared" si="13"/>
        <v>0.50273224043715847</v>
      </c>
      <c r="I18" s="11">
        <f t="shared" si="13"/>
        <v>0.51741293532338306</v>
      </c>
      <c r="J18" s="11">
        <f t="shared" si="13"/>
        <v>0.53333333333333333</v>
      </c>
      <c r="K18" s="11">
        <f t="shared" si="13"/>
        <v>0.53543307086614178</v>
      </c>
      <c r="L18" s="11">
        <f t="shared" si="13"/>
        <v>0.53546099290780147</v>
      </c>
      <c r="M18" s="11">
        <f t="shared" si="13"/>
        <v>0.54485049833887045</v>
      </c>
      <c r="N18" s="11">
        <f t="shared" si="13"/>
        <v>0.56289308176100628</v>
      </c>
      <c r="O18" s="11">
        <f t="shared" si="13"/>
        <v>0.56289308176100628</v>
      </c>
      <c r="P18" s="11">
        <f t="shared" si="13"/>
        <v>0.55457227138643073</v>
      </c>
      <c r="Q18" s="11">
        <f t="shared" si="13"/>
        <v>0.55026455026455023</v>
      </c>
      <c r="R18" s="11">
        <f t="shared" si="13"/>
        <v>0.54342431761786603</v>
      </c>
      <c r="S18" s="11">
        <f t="shared" si="13"/>
        <v>0.5505882352941176</v>
      </c>
      <c r="T18" s="11">
        <f t="shared" si="13"/>
        <v>0.56277056277056281</v>
      </c>
      <c r="U18" s="11">
        <f t="shared" si="13"/>
        <v>0.57261410788381739</v>
      </c>
      <c r="V18" s="11">
        <f t="shared" si="13"/>
        <v>0.57261410788381739</v>
      </c>
      <c r="W18" s="11">
        <f t="shared" si="13"/>
        <v>0.5685884691848907</v>
      </c>
      <c r="X18" s="11">
        <f t="shared" si="13"/>
        <v>0.56928838951310856</v>
      </c>
      <c r="Y18" s="11">
        <f t="shared" si="13"/>
        <v>0.57848324514991178</v>
      </c>
      <c r="Z18" s="11">
        <f t="shared" si="13"/>
        <v>0.57499999999999996</v>
      </c>
      <c r="AA18" s="11">
        <f t="shared" si="13"/>
        <v>0.57886435331230279</v>
      </c>
      <c r="AB18" s="11">
        <f t="shared" si="13"/>
        <v>0.58093797276853254</v>
      </c>
      <c r="AC18" s="11">
        <f t="shared" si="13"/>
        <v>0.58093797276853254</v>
      </c>
      <c r="AD18" s="11">
        <f t="shared" si="13"/>
        <v>0.56350364963503652</v>
      </c>
      <c r="AE18" s="11">
        <f t="shared" si="13"/>
        <v>0.55555555555555558</v>
      </c>
    </row>
    <row r="19" spans="1:32">
      <c r="A19" s="14" t="s">
        <v>1</v>
      </c>
      <c r="B19" s="11">
        <f>B14/B$17</f>
        <v>0.1111111111111111</v>
      </c>
      <c r="C19" s="11">
        <f t="shared" ref="C19:Q19" si="14">C14/C$17</f>
        <v>0.10169491525423729</v>
      </c>
      <c r="D19" s="11">
        <f t="shared" si="14"/>
        <v>9.0909090909090912E-2</v>
      </c>
      <c r="E19" s="11">
        <f t="shared" si="14"/>
        <v>0.08</v>
      </c>
      <c r="F19" s="11">
        <f t="shared" si="14"/>
        <v>8.666666666666667E-2</v>
      </c>
      <c r="G19" s="11">
        <f t="shared" si="14"/>
        <v>9.8360655737704916E-2</v>
      </c>
      <c r="H19" s="11">
        <f t="shared" si="14"/>
        <v>9.8360655737704916E-2</v>
      </c>
      <c r="I19" s="11">
        <f t="shared" si="14"/>
        <v>9.4527363184079602E-2</v>
      </c>
      <c r="J19" s="11">
        <f t="shared" si="14"/>
        <v>0.10222222222222223</v>
      </c>
      <c r="K19" s="11">
        <f t="shared" si="14"/>
        <v>0.10236220472440945</v>
      </c>
      <c r="L19" s="11">
        <f t="shared" si="14"/>
        <v>0.10638297872340426</v>
      </c>
      <c r="M19" s="11">
        <f t="shared" si="14"/>
        <v>0.11627906976744186</v>
      </c>
      <c r="N19" s="11">
        <f t="shared" si="14"/>
        <v>0.11320754716981132</v>
      </c>
      <c r="O19" s="11">
        <f t="shared" si="14"/>
        <v>0.11320754716981132</v>
      </c>
      <c r="P19" s="11">
        <f t="shared" si="14"/>
        <v>0.10914454277286136</v>
      </c>
      <c r="Q19" s="11">
        <f t="shared" si="14"/>
        <v>0.10052910052910052</v>
      </c>
      <c r="R19" s="11">
        <f t="shared" ref="R19:AE21" si="15">R14/R$17</f>
        <v>0.10421836228287841</v>
      </c>
      <c r="S19" s="11">
        <f t="shared" si="15"/>
        <v>0.10588235294117647</v>
      </c>
      <c r="T19" s="11">
        <f t="shared" si="15"/>
        <v>0.1038961038961039</v>
      </c>
      <c r="U19" s="11">
        <f t="shared" si="15"/>
        <v>0.10580912863070539</v>
      </c>
      <c r="V19" s="11">
        <f t="shared" si="15"/>
        <v>0.10580912863070539</v>
      </c>
      <c r="W19" s="11">
        <f t="shared" si="15"/>
        <v>0.10337972166998012</v>
      </c>
      <c r="X19" s="11">
        <f t="shared" si="15"/>
        <v>0.10112359550561797</v>
      </c>
      <c r="Y19" s="11">
        <f t="shared" si="15"/>
        <v>0.10052910052910052</v>
      </c>
      <c r="Z19" s="11">
        <f t="shared" si="15"/>
        <v>0.10166666666666667</v>
      </c>
      <c r="AA19" s="11">
        <f t="shared" si="15"/>
        <v>0.10252365930599369</v>
      </c>
      <c r="AB19" s="11">
        <f t="shared" si="15"/>
        <v>0.10287443267776097</v>
      </c>
      <c r="AC19" s="11">
        <f t="shared" si="15"/>
        <v>0.10287443267776097</v>
      </c>
      <c r="AD19" s="11">
        <f t="shared" si="15"/>
        <v>0.10072992700729927</v>
      </c>
      <c r="AE19" s="11">
        <f t="shared" si="15"/>
        <v>0.10138888888888889</v>
      </c>
    </row>
    <row r="20" spans="1:32">
      <c r="A20" s="14" t="s">
        <v>2</v>
      </c>
      <c r="B20" s="11">
        <f>B15/B$17</f>
        <v>0.29629629629629628</v>
      </c>
      <c r="C20" s="11">
        <f t="shared" ref="C20:Q20" si="16">C15/C$17</f>
        <v>0.2711864406779661</v>
      </c>
      <c r="D20" s="11">
        <f t="shared" si="16"/>
        <v>0.31313131313131315</v>
      </c>
      <c r="E20" s="11">
        <f t="shared" si="16"/>
        <v>0.34399999999999997</v>
      </c>
      <c r="F20" s="11">
        <f t="shared" si="16"/>
        <v>0.34666666666666668</v>
      </c>
      <c r="G20" s="11">
        <f t="shared" si="16"/>
        <v>0.34426229508196721</v>
      </c>
      <c r="H20" s="11">
        <f t="shared" si="16"/>
        <v>0.34426229508196721</v>
      </c>
      <c r="I20" s="11">
        <f t="shared" si="16"/>
        <v>0.32835820895522388</v>
      </c>
      <c r="J20" s="11">
        <f t="shared" si="16"/>
        <v>0.29777777777777775</v>
      </c>
      <c r="K20" s="11">
        <f t="shared" si="16"/>
        <v>0.29133858267716534</v>
      </c>
      <c r="L20" s="11">
        <f t="shared" si="16"/>
        <v>0.28723404255319152</v>
      </c>
      <c r="M20" s="11">
        <f t="shared" si="16"/>
        <v>0.26910299003322258</v>
      </c>
      <c r="N20" s="11">
        <f t="shared" si="16"/>
        <v>0.25786163522012578</v>
      </c>
      <c r="O20" s="11">
        <f t="shared" si="16"/>
        <v>0.25786163522012578</v>
      </c>
      <c r="P20" s="11">
        <f t="shared" si="16"/>
        <v>0.26843657817109146</v>
      </c>
      <c r="Q20" s="11">
        <f t="shared" si="16"/>
        <v>0.28042328042328041</v>
      </c>
      <c r="R20" s="11">
        <f t="shared" si="15"/>
        <v>0.28287841191066998</v>
      </c>
      <c r="S20" s="11">
        <f t="shared" si="15"/>
        <v>0.27294117647058824</v>
      </c>
      <c r="T20" s="11">
        <f t="shared" si="15"/>
        <v>0.26190476190476192</v>
      </c>
      <c r="U20" s="11">
        <f t="shared" si="15"/>
        <v>0.25103734439834025</v>
      </c>
      <c r="V20" s="11">
        <f t="shared" si="15"/>
        <v>0.25103734439834025</v>
      </c>
      <c r="W20" s="11">
        <f t="shared" si="15"/>
        <v>0.25447316103379719</v>
      </c>
      <c r="X20" s="11">
        <f t="shared" si="15"/>
        <v>0.25655430711610488</v>
      </c>
      <c r="Y20" s="11">
        <f t="shared" si="15"/>
        <v>0.24867724867724866</v>
      </c>
      <c r="Z20" s="11">
        <f t="shared" si="15"/>
        <v>0.25166666666666665</v>
      </c>
      <c r="AA20" s="11">
        <f t="shared" si="15"/>
        <v>0.25078864353312302</v>
      </c>
      <c r="AB20" s="11">
        <f t="shared" si="15"/>
        <v>0.25113464447806355</v>
      </c>
      <c r="AC20" s="11">
        <f t="shared" si="15"/>
        <v>0.25113464447806355</v>
      </c>
      <c r="AD20" s="11">
        <f t="shared" si="15"/>
        <v>0.26715328467153282</v>
      </c>
      <c r="AE20" s="11">
        <f t="shared" si="15"/>
        <v>0.27638888888888891</v>
      </c>
    </row>
    <row r="21" spans="1:32">
      <c r="A21" s="14" t="s">
        <v>3</v>
      </c>
      <c r="B21" s="11">
        <f>B16/B$17</f>
        <v>3.7037037037037035E-2</v>
      </c>
      <c r="C21" s="11">
        <f t="shared" ref="C21:Q21" si="17">C16/C$17</f>
        <v>0.11864406779661017</v>
      </c>
      <c r="D21" s="11">
        <f t="shared" si="17"/>
        <v>0.10101010101010101</v>
      </c>
      <c r="E21" s="11">
        <f t="shared" si="17"/>
        <v>0.08</v>
      </c>
      <c r="F21" s="11">
        <f t="shared" si="17"/>
        <v>6.6666666666666666E-2</v>
      </c>
      <c r="G21" s="11">
        <f t="shared" si="17"/>
        <v>5.4644808743169397E-2</v>
      </c>
      <c r="H21" s="11">
        <f t="shared" si="17"/>
        <v>5.4644808743169397E-2</v>
      </c>
      <c r="I21" s="11">
        <f t="shared" si="17"/>
        <v>5.9701492537313432E-2</v>
      </c>
      <c r="J21" s="11">
        <f t="shared" si="17"/>
        <v>6.6666666666666666E-2</v>
      </c>
      <c r="K21" s="11">
        <f t="shared" si="17"/>
        <v>7.0866141732283464E-2</v>
      </c>
      <c r="L21" s="11">
        <f t="shared" si="17"/>
        <v>7.0921985815602842E-2</v>
      </c>
      <c r="M21" s="11">
        <f t="shared" si="17"/>
        <v>6.9767441860465115E-2</v>
      </c>
      <c r="N21" s="11">
        <f t="shared" si="17"/>
        <v>6.6037735849056603E-2</v>
      </c>
      <c r="O21" s="11">
        <f t="shared" si="17"/>
        <v>6.6037735849056603E-2</v>
      </c>
      <c r="P21" s="11">
        <f t="shared" si="17"/>
        <v>6.7846607669616518E-2</v>
      </c>
      <c r="Q21" s="11">
        <f t="shared" si="17"/>
        <v>6.8783068783068779E-2</v>
      </c>
      <c r="R21" s="11">
        <f t="shared" si="15"/>
        <v>6.9478908188585611E-2</v>
      </c>
      <c r="S21" s="11">
        <f t="shared" si="15"/>
        <v>7.0588235294117646E-2</v>
      </c>
      <c r="T21" s="11">
        <f t="shared" si="15"/>
        <v>7.1428571428571425E-2</v>
      </c>
      <c r="U21" s="11">
        <f t="shared" si="15"/>
        <v>7.0539419087136929E-2</v>
      </c>
      <c r="V21" s="11">
        <f t="shared" si="15"/>
        <v>7.0539419087136929E-2</v>
      </c>
      <c r="W21" s="11">
        <f t="shared" si="15"/>
        <v>7.3558648111332003E-2</v>
      </c>
      <c r="X21" s="11">
        <f t="shared" si="15"/>
        <v>7.3033707865168537E-2</v>
      </c>
      <c r="Y21" s="11">
        <f t="shared" si="15"/>
        <v>7.2310405643738973E-2</v>
      </c>
      <c r="Z21" s="11">
        <f t="shared" si="15"/>
        <v>7.166666666666667E-2</v>
      </c>
      <c r="AA21" s="11">
        <f t="shared" si="15"/>
        <v>6.7823343848580436E-2</v>
      </c>
      <c r="AB21" s="11">
        <f t="shared" si="15"/>
        <v>6.5052950075642962E-2</v>
      </c>
      <c r="AC21" s="11">
        <f t="shared" si="15"/>
        <v>6.5052950075642962E-2</v>
      </c>
      <c r="AD21" s="11">
        <f t="shared" si="15"/>
        <v>6.8613138686131392E-2</v>
      </c>
      <c r="AE21" s="11">
        <f t="shared" si="15"/>
        <v>6.6666666666666666E-2</v>
      </c>
    </row>
    <row r="22" spans="1:32">
      <c r="A22" s="16"/>
      <c r="B22" s="1">
        <f>SUM(B18:B21)</f>
        <v>1</v>
      </c>
      <c r="C22" s="1">
        <f t="shared" ref="C22:AF22" si="18">SUM(C18:C21)</f>
        <v>0.99999999999999989</v>
      </c>
      <c r="D22" s="1">
        <f t="shared" si="18"/>
        <v>1</v>
      </c>
      <c r="E22" s="1">
        <f t="shared" si="18"/>
        <v>0.99999999999999989</v>
      </c>
      <c r="F22" s="1">
        <f t="shared" si="18"/>
        <v>1</v>
      </c>
      <c r="G22" s="1">
        <f t="shared" si="18"/>
        <v>0.99999999999999989</v>
      </c>
      <c r="H22" s="1">
        <f t="shared" si="18"/>
        <v>0.99999999999999989</v>
      </c>
      <c r="I22" s="1">
        <f t="shared" si="18"/>
        <v>1</v>
      </c>
      <c r="J22" s="1">
        <f t="shared" si="18"/>
        <v>1</v>
      </c>
      <c r="K22" s="1">
        <f t="shared" si="18"/>
        <v>1.0000000000000002</v>
      </c>
      <c r="L22" s="1">
        <f t="shared" si="18"/>
        <v>1.0000000000000002</v>
      </c>
      <c r="M22" s="1">
        <f t="shared" si="18"/>
        <v>1</v>
      </c>
      <c r="N22" s="1">
        <f t="shared" si="18"/>
        <v>0.99999999999999989</v>
      </c>
      <c r="O22" s="1">
        <f t="shared" si="18"/>
        <v>0.99999999999999989</v>
      </c>
      <c r="P22" s="1">
        <f t="shared" si="18"/>
        <v>1</v>
      </c>
      <c r="Q22" s="1">
        <f t="shared" si="18"/>
        <v>1</v>
      </c>
      <c r="R22" s="1">
        <f t="shared" si="18"/>
        <v>1</v>
      </c>
      <c r="S22" s="1">
        <f t="shared" si="18"/>
        <v>0.99999999999999989</v>
      </c>
      <c r="T22" s="1">
        <f t="shared" si="18"/>
        <v>1</v>
      </c>
      <c r="U22" s="1">
        <f t="shared" si="18"/>
        <v>0.99999999999999989</v>
      </c>
      <c r="V22" s="1">
        <f t="shared" si="18"/>
        <v>0.99999999999999989</v>
      </c>
      <c r="W22" s="1">
        <f t="shared" si="18"/>
        <v>1</v>
      </c>
      <c r="X22" s="1">
        <f t="shared" si="18"/>
        <v>0.99999999999999989</v>
      </c>
      <c r="Y22" s="1">
        <f t="shared" si="18"/>
        <v>0.99999999999999978</v>
      </c>
      <c r="Z22" s="1">
        <f t="shared" si="18"/>
        <v>0.99999999999999989</v>
      </c>
      <c r="AA22" s="1">
        <f t="shared" si="18"/>
        <v>1</v>
      </c>
      <c r="AB22" s="1">
        <f t="shared" si="18"/>
        <v>1</v>
      </c>
      <c r="AC22" s="1">
        <f t="shared" si="18"/>
        <v>1</v>
      </c>
      <c r="AD22" s="1">
        <f t="shared" si="18"/>
        <v>0.99999999999999989</v>
      </c>
      <c r="AE22" s="1">
        <f t="shared" si="18"/>
        <v>1</v>
      </c>
      <c r="AF22" s="1">
        <f t="shared" si="18"/>
        <v>0</v>
      </c>
    </row>
    <row r="23" spans="1:32">
      <c r="A23" s="14" t="s">
        <v>5</v>
      </c>
      <c r="B23" s="4">
        <f>B3+B4</f>
        <v>18</v>
      </c>
      <c r="C23" s="4">
        <f t="shared" ref="C23:AE23" si="19">C3+C4</f>
        <v>18</v>
      </c>
      <c r="D23" s="4">
        <f t="shared" si="19"/>
        <v>22</v>
      </c>
      <c r="E23" s="4">
        <f t="shared" si="19"/>
        <v>14</v>
      </c>
      <c r="F23" s="4">
        <f t="shared" si="19"/>
        <v>16</v>
      </c>
      <c r="G23" s="4">
        <f t="shared" si="19"/>
        <v>22</v>
      </c>
      <c r="H23" s="4">
        <f t="shared" si="19"/>
        <v>0</v>
      </c>
      <c r="I23" s="4">
        <f t="shared" si="19"/>
        <v>13</v>
      </c>
      <c r="J23" s="4">
        <f t="shared" si="19"/>
        <v>20</v>
      </c>
      <c r="K23" s="4">
        <f t="shared" si="19"/>
        <v>19</v>
      </c>
      <c r="L23" s="4">
        <f t="shared" si="19"/>
        <v>19</v>
      </c>
      <c r="M23" s="4">
        <f t="shared" si="19"/>
        <v>18</v>
      </c>
      <c r="N23" s="4">
        <f t="shared" si="19"/>
        <v>16</v>
      </c>
      <c r="O23" s="4">
        <f t="shared" si="19"/>
        <v>0</v>
      </c>
      <c r="P23" s="4">
        <f t="shared" si="19"/>
        <v>10</v>
      </c>
      <c r="Q23" s="4">
        <f t="shared" si="19"/>
        <v>21</v>
      </c>
      <c r="R23" s="4">
        <f t="shared" si="19"/>
        <v>15</v>
      </c>
      <c r="S23" s="4">
        <f t="shared" si="19"/>
        <v>18</v>
      </c>
      <c r="T23" s="4">
        <f t="shared" si="19"/>
        <v>29</v>
      </c>
      <c r="U23" s="4">
        <f t="shared" si="19"/>
        <v>19</v>
      </c>
      <c r="V23" s="4">
        <f t="shared" si="19"/>
        <v>0</v>
      </c>
      <c r="W23" s="4">
        <f t="shared" si="19"/>
        <v>11</v>
      </c>
      <c r="X23" s="4">
        <f t="shared" si="19"/>
        <v>20</v>
      </c>
      <c r="Y23" s="4">
        <f t="shared" si="19"/>
        <v>27</v>
      </c>
      <c r="Z23" s="4">
        <f t="shared" si="19"/>
        <v>21</v>
      </c>
      <c r="AA23" s="4">
        <f t="shared" si="19"/>
        <v>26</v>
      </c>
      <c r="AB23" s="4">
        <f t="shared" si="19"/>
        <v>20</v>
      </c>
      <c r="AC23" s="4">
        <f t="shared" si="19"/>
        <v>0</v>
      </c>
      <c r="AD23" s="4">
        <f t="shared" si="19"/>
        <v>3</v>
      </c>
      <c r="AE23" s="4">
        <f t="shared" si="19"/>
        <v>18</v>
      </c>
      <c r="AF23" s="4">
        <f>SUM(B23:AE23)</f>
        <v>473</v>
      </c>
    </row>
    <row r="24" spans="1:32">
      <c r="A24" s="14" t="s">
        <v>2</v>
      </c>
      <c r="B24" s="4">
        <f>B5</f>
        <v>8</v>
      </c>
      <c r="C24" s="4">
        <f t="shared" ref="C24:AE24" si="20">C5</f>
        <v>8</v>
      </c>
      <c r="D24" s="4">
        <f t="shared" si="20"/>
        <v>15</v>
      </c>
      <c r="E24" s="4">
        <f t="shared" si="20"/>
        <v>12</v>
      </c>
      <c r="F24" s="4">
        <f t="shared" si="20"/>
        <v>9</v>
      </c>
      <c r="G24" s="4">
        <f t="shared" si="20"/>
        <v>11</v>
      </c>
      <c r="H24" s="4">
        <f t="shared" si="20"/>
        <v>0</v>
      </c>
      <c r="I24" s="4">
        <f t="shared" si="20"/>
        <v>3</v>
      </c>
      <c r="J24" s="4">
        <f t="shared" si="20"/>
        <v>1</v>
      </c>
      <c r="K24" s="4">
        <f t="shared" si="20"/>
        <v>7</v>
      </c>
      <c r="L24" s="4">
        <f t="shared" si="20"/>
        <v>7</v>
      </c>
      <c r="M24" s="4">
        <f t="shared" si="20"/>
        <v>0</v>
      </c>
      <c r="N24" s="4">
        <f t="shared" si="20"/>
        <v>1</v>
      </c>
      <c r="O24" s="4">
        <f t="shared" si="20"/>
        <v>0</v>
      </c>
      <c r="P24" s="4">
        <f t="shared" si="20"/>
        <v>9</v>
      </c>
      <c r="Q24" s="4">
        <f t="shared" si="20"/>
        <v>15</v>
      </c>
      <c r="R24" s="4">
        <f t="shared" si="20"/>
        <v>8</v>
      </c>
      <c r="S24" s="4">
        <f t="shared" si="20"/>
        <v>2</v>
      </c>
      <c r="T24" s="4">
        <f t="shared" si="20"/>
        <v>5</v>
      </c>
      <c r="U24" s="4">
        <f t="shared" si="20"/>
        <v>0</v>
      </c>
      <c r="V24" s="4">
        <f t="shared" si="20"/>
        <v>0</v>
      </c>
      <c r="W24" s="4">
        <f t="shared" si="20"/>
        <v>7</v>
      </c>
      <c r="X24" s="4">
        <f t="shared" si="20"/>
        <v>9</v>
      </c>
      <c r="Y24" s="4">
        <f t="shared" si="20"/>
        <v>4</v>
      </c>
      <c r="Z24" s="4">
        <f t="shared" si="20"/>
        <v>10</v>
      </c>
      <c r="AA24" s="4">
        <f t="shared" si="20"/>
        <v>8</v>
      </c>
      <c r="AB24" s="4">
        <f t="shared" si="20"/>
        <v>7</v>
      </c>
      <c r="AC24" s="4">
        <f t="shared" si="20"/>
        <v>0</v>
      </c>
      <c r="AD24" s="4">
        <f t="shared" si="20"/>
        <v>17</v>
      </c>
      <c r="AE24" s="4">
        <f t="shared" si="20"/>
        <v>16</v>
      </c>
      <c r="AF24" s="4">
        <f>SUM(B24:AE24)</f>
        <v>199</v>
      </c>
    </row>
    <row r="25" spans="1:32">
      <c r="A25" s="14" t="s">
        <v>3</v>
      </c>
      <c r="B25" s="4">
        <f>B6</f>
        <v>1</v>
      </c>
      <c r="C25" s="4">
        <f t="shared" ref="C25:AE25" si="21">C6</f>
        <v>6</v>
      </c>
      <c r="D25" s="4">
        <f t="shared" si="21"/>
        <v>3</v>
      </c>
      <c r="E25" s="4">
        <f t="shared" si="21"/>
        <v>0</v>
      </c>
      <c r="F25" s="4">
        <f t="shared" si="21"/>
        <v>0</v>
      </c>
      <c r="G25" s="4">
        <f t="shared" si="21"/>
        <v>0</v>
      </c>
      <c r="H25" s="4">
        <f t="shared" si="21"/>
        <v>0</v>
      </c>
      <c r="I25" s="4">
        <f t="shared" si="21"/>
        <v>2</v>
      </c>
      <c r="J25" s="4">
        <f t="shared" si="21"/>
        <v>3</v>
      </c>
      <c r="K25" s="4">
        <f t="shared" si="21"/>
        <v>3</v>
      </c>
      <c r="L25" s="4">
        <f t="shared" si="21"/>
        <v>2</v>
      </c>
      <c r="M25" s="4">
        <f t="shared" si="21"/>
        <v>1</v>
      </c>
      <c r="N25" s="4">
        <f t="shared" si="21"/>
        <v>0</v>
      </c>
      <c r="O25" s="4">
        <f t="shared" si="21"/>
        <v>0</v>
      </c>
      <c r="P25" s="4">
        <f t="shared" si="21"/>
        <v>2</v>
      </c>
      <c r="Q25" s="4">
        <f t="shared" si="21"/>
        <v>3</v>
      </c>
      <c r="R25" s="4">
        <f t="shared" si="21"/>
        <v>2</v>
      </c>
      <c r="S25" s="4">
        <f t="shared" si="21"/>
        <v>2</v>
      </c>
      <c r="T25" s="4">
        <f t="shared" si="21"/>
        <v>3</v>
      </c>
      <c r="U25" s="4">
        <f t="shared" si="21"/>
        <v>1</v>
      </c>
      <c r="V25" s="4">
        <f t="shared" si="21"/>
        <v>0</v>
      </c>
      <c r="W25" s="4">
        <f t="shared" si="21"/>
        <v>3</v>
      </c>
      <c r="X25" s="4">
        <f t="shared" si="21"/>
        <v>2</v>
      </c>
      <c r="Y25" s="4">
        <f t="shared" si="21"/>
        <v>2</v>
      </c>
      <c r="Z25" s="4">
        <f t="shared" si="21"/>
        <v>2</v>
      </c>
      <c r="AA25" s="4">
        <f t="shared" si="21"/>
        <v>0</v>
      </c>
      <c r="AB25" s="4">
        <f t="shared" si="21"/>
        <v>0</v>
      </c>
      <c r="AC25" s="4">
        <f t="shared" si="21"/>
        <v>0</v>
      </c>
      <c r="AD25" s="4">
        <f t="shared" si="21"/>
        <v>4</v>
      </c>
      <c r="AE25" s="4">
        <f t="shared" si="21"/>
        <v>1</v>
      </c>
      <c r="AF25" s="4">
        <f>SUM(B25:AE25)</f>
        <v>48</v>
      </c>
    </row>
    <row r="26" spans="1:32">
      <c r="A26" s="17"/>
      <c r="B26" s="13">
        <f>SUM(B23:B25)</f>
        <v>27</v>
      </c>
      <c r="C26" s="13">
        <f t="shared" ref="C26:AF26" si="22">SUM(C23:C25)</f>
        <v>32</v>
      </c>
      <c r="D26" s="13">
        <f t="shared" si="22"/>
        <v>40</v>
      </c>
      <c r="E26" s="13">
        <f t="shared" si="22"/>
        <v>26</v>
      </c>
      <c r="F26" s="13">
        <f t="shared" si="22"/>
        <v>25</v>
      </c>
      <c r="G26" s="13">
        <f t="shared" si="22"/>
        <v>33</v>
      </c>
      <c r="H26" s="13">
        <f t="shared" si="22"/>
        <v>0</v>
      </c>
      <c r="I26" s="13">
        <f t="shared" si="22"/>
        <v>18</v>
      </c>
      <c r="J26" s="13">
        <f t="shared" si="22"/>
        <v>24</v>
      </c>
      <c r="K26" s="13">
        <f t="shared" si="22"/>
        <v>29</v>
      </c>
      <c r="L26" s="13">
        <f t="shared" si="22"/>
        <v>28</v>
      </c>
      <c r="M26" s="13">
        <f t="shared" si="22"/>
        <v>19</v>
      </c>
      <c r="N26" s="13">
        <f t="shared" si="22"/>
        <v>17</v>
      </c>
      <c r="O26" s="13">
        <f t="shared" si="22"/>
        <v>0</v>
      </c>
      <c r="P26" s="13">
        <f t="shared" si="22"/>
        <v>21</v>
      </c>
      <c r="Q26" s="13">
        <f t="shared" si="22"/>
        <v>39</v>
      </c>
      <c r="R26" s="13">
        <f t="shared" si="22"/>
        <v>25</v>
      </c>
      <c r="S26" s="13">
        <f t="shared" si="22"/>
        <v>22</v>
      </c>
      <c r="T26" s="13">
        <f t="shared" si="22"/>
        <v>37</v>
      </c>
      <c r="U26" s="13">
        <f t="shared" si="22"/>
        <v>20</v>
      </c>
      <c r="V26" s="13">
        <f t="shared" si="22"/>
        <v>0</v>
      </c>
      <c r="W26" s="13">
        <f t="shared" si="22"/>
        <v>21</v>
      </c>
      <c r="X26" s="13">
        <f t="shared" si="22"/>
        <v>31</v>
      </c>
      <c r="Y26" s="13">
        <f t="shared" si="22"/>
        <v>33</v>
      </c>
      <c r="Z26" s="13">
        <f t="shared" si="22"/>
        <v>33</v>
      </c>
      <c r="AA26" s="13">
        <f t="shared" si="22"/>
        <v>34</v>
      </c>
      <c r="AB26" s="13">
        <f t="shared" si="22"/>
        <v>27</v>
      </c>
      <c r="AC26" s="13">
        <f t="shared" si="22"/>
        <v>0</v>
      </c>
      <c r="AD26" s="13">
        <f t="shared" si="22"/>
        <v>24</v>
      </c>
      <c r="AE26" s="13">
        <f t="shared" si="22"/>
        <v>35</v>
      </c>
      <c r="AF26" s="4">
        <f t="shared" si="22"/>
        <v>720</v>
      </c>
    </row>
    <row r="27" spans="1:32">
      <c r="A27" s="14" t="s">
        <v>5</v>
      </c>
      <c r="B27" s="12">
        <f>B23/B$26</f>
        <v>0.66666666666666663</v>
      </c>
      <c r="C27" s="12">
        <f t="shared" ref="C27:AF29" si="23">C23/C$26</f>
        <v>0.5625</v>
      </c>
      <c r="D27" s="12">
        <f t="shared" si="23"/>
        <v>0.55000000000000004</v>
      </c>
      <c r="E27" s="12">
        <f t="shared" si="23"/>
        <v>0.53846153846153844</v>
      </c>
      <c r="F27" s="12">
        <f t="shared" si="23"/>
        <v>0.64</v>
      </c>
      <c r="G27" s="12">
        <f t="shared" si="23"/>
        <v>0.66666666666666663</v>
      </c>
      <c r="H27" s="12" t="e">
        <f t="shared" si="23"/>
        <v>#DIV/0!</v>
      </c>
      <c r="I27" s="12">
        <f t="shared" si="23"/>
        <v>0.72222222222222221</v>
      </c>
      <c r="J27" s="12">
        <f t="shared" si="23"/>
        <v>0.83333333333333337</v>
      </c>
      <c r="K27" s="12">
        <f t="shared" si="23"/>
        <v>0.65517241379310343</v>
      </c>
      <c r="L27" s="12">
        <f t="shared" si="23"/>
        <v>0.6785714285714286</v>
      </c>
      <c r="M27" s="12">
        <f t="shared" si="23"/>
        <v>0.94736842105263153</v>
      </c>
      <c r="N27" s="12">
        <f t="shared" si="23"/>
        <v>0.94117647058823528</v>
      </c>
      <c r="O27" s="12" t="e">
        <f t="shared" si="23"/>
        <v>#DIV/0!</v>
      </c>
      <c r="P27" s="12">
        <f t="shared" si="23"/>
        <v>0.47619047619047616</v>
      </c>
      <c r="Q27" s="12">
        <f t="shared" si="23"/>
        <v>0.53846153846153844</v>
      </c>
      <c r="R27" s="12">
        <f t="shared" si="23"/>
        <v>0.6</v>
      </c>
      <c r="S27" s="12">
        <f t="shared" si="23"/>
        <v>0.81818181818181823</v>
      </c>
      <c r="T27" s="12">
        <f t="shared" si="23"/>
        <v>0.78378378378378377</v>
      </c>
      <c r="U27" s="12">
        <f t="shared" si="23"/>
        <v>0.95</v>
      </c>
      <c r="V27" s="12" t="e">
        <f t="shared" si="23"/>
        <v>#DIV/0!</v>
      </c>
      <c r="W27" s="12">
        <f t="shared" si="23"/>
        <v>0.52380952380952384</v>
      </c>
      <c r="X27" s="12">
        <f t="shared" si="23"/>
        <v>0.64516129032258063</v>
      </c>
      <c r="Y27" s="12">
        <f t="shared" si="23"/>
        <v>0.81818181818181823</v>
      </c>
      <c r="Z27" s="12">
        <f t="shared" si="23"/>
        <v>0.63636363636363635</v>
      </c>
      <c r="AA27" s="12">
        <f t="shared" si="23"/>
        <v>0.76470588235294112</v>
      </c>
      <c r="AB27" s="12">
        <f t="shared" si="23"/>
        <v>0.7407407407407407</v>
      </c>
      <c r="AC27" s="12" t="e">
        <f t="shared" si="23"/>
        <v>#DIV/0!</v>
      </c>
      <c r="AD27" s="12">
        <f t="shared" si="23"/>
        <v>0.125</v>
      </c>
      <c r="AE27" s="12">
        <f t="shared" si="23"/>
        <v>0.51428571428571423</v>
      </c>
      <c r="AF27" s="12">
        <f t="shared" si="23"/>
        <v>0.65694444444444444</v>
      </c>
    </row>
    <row r="28" spans="1:32">
      <c r="A28" s="14" t="s">
        <v>2</v>
      </c>
      <c r="B28" s="12">
        <f t="shared" ref="B28:Q29" si="24">B24/B$26</f>
        <v>0.29629629629629628</v>
      </c>
      <c r="C28" s="12">
        <f t="shared" si="24"/>
        <v>0.25</v>
      </c>
      <c r="D28" s="12">
        <f t="shared" si="24"/>
        <v>0.375</v>
      </c>
      <c r="E28" s="12">
        <f t="shared" si="24"/>
        <v>0.46153846153846156</v>
      </c>
      <c r="F28" s="12">
        <f t="shared" si="24"/>
        <v>0.36</v>
      </c>
      <c r="G28" s="12">
        <f t="shared" si="24"/>
        <v>0.33333333333333331</v>
      </c>
      <c r="H28" s="12" t="e">
        <f t="shared" si="24"/>
        <v>#DIV/0!</v>
      </c>
      <c r="I28" s="12">
        <f t="shared" si="24"/>
        <v>0.16666666666666666</v>
      </c>
      <c r="J28" s="12">
        <f t="shared" si="24"/>
        <v>4.1666666666666664E-2</v>
      </c>
      <c r="K28" s="12">
        <f t="shared" si="24"/>
        <v>0.2413793103448276</v>
      </c>
      <c r="L28" s="12">
        <f t="shared" si="24"/>
        <v>0.25</v>
      </c>
      <c r="M28" s="12">
        <f t="shared" si="24"/>
        <v>0</v>
      </c>
      <c r="N28" s="12">
        <f t="shared" si="24"/>
        <v>5.8823529411764705E-2</v>
      </c>
      <c r="O28" s="12" t="e">
        <f t="shared" si="24"/>
        <v>#DIV/0!</v>
      </c>
      <c r="P28" s="12">
        <f t="shared" si="24"/>
        <v>0.42857142857142855</v>
      </c>
      <c r="Q28" s="12">
        <f t="shared" si="24"/>
        <v>0.38461538461538464</v>
      </c>
      <c r="R28" s="12">
        <f t="shared" si="23"/>
        <v>0.32</v>
      </c>
      <c r="S28" s="12">
        <f t="shared" si="23"/>
        <v>9.0909090909090912E-2</v>
      </c>
      <c r="T28" s="12">
        <f t="shared" si="23"/>
        <v>0.13513513513513514</v>
      </c>
      <c r="U28" s="12">
        <f t="shared" si="23"/>
        <v>0</v>
      </c>
      <c r="V28" s="12" t="e">
        <f t="shared" si="23"/>
        <v>#DIV/0!</v>
      </c>
      <c r="W28" s="12">
        <f t="shared" si="23"/>
        <v>0.33333333333333331</v>
      </c>
      <c r="X28" s="12">
        <f t="shared" si="23"/>
        <v>0.29032258064516131</v>
      </c>
      <c r="Y28" s="12">
        <f t="shared" si="23"/>
        <v>0.12121212121212122</v>
      </c>
      <c r="Z28" s="12">
        <f t="shared" si="23"/>
        <v>0.30303030303030304</v>
      </c>
      <c r="AA28" s="12">
        <f t="shared" si="23"/>
        <v>0.23529411764705882</v>
      </c>
      <c r="AB28" s="12">
        <f t="shared" si="23"/>
        <v>0.25925925925925924</v>
      </c>
      <c r="AC28" s="12" t="e">
        <f t="shared" si="23"/>
        <v>#DIV/0!</v>
      </c>
      <c r="AD28" s="12">
        <f t="shared" si="23"/>
        <v>0.70833333333333337</v>
      </c>
      <c r="AE28" s="12">
        <f t="shared" si="23"/>
        <v>0.45714285714285713</v>
      </c>
      <c r="AF28" s="12">
        <f t="shared" si="23"/>
        <v>0.27638888888888891</v>
      </c>
    </row>
    <row r="29" spans="1:32">
      <c r="A29" s="14" t="s">
        <v>3</v>
      </c>
      <c r="B29" s="12">
        <f t="shared" si="24"/>
        <v>3.7037037037037035E-2</v>
      </c>
      <c r="C29" s="12">
        <f t="shared" si="23"/>
        <v>0.1875</v>
      </c>
      <c r="D29" s="12">
        <f t="shared" si="23"/>
        <v>7.4999999999999997E-2</v>
      </c>
      <c r="E29" s="12">
        <f t="shared" si="23"/>
        <v>0</v>
      </c>
      <c r="F29" s="12">
        <f t="shared" si="23"/>
        <v>0</v>
      </c>
      <c r="G29" s="12">
        <f t="shared" si="23"/>
        <v>0</v>
      </c>
      <c r="H29" s="12" t="e">
        <f t="shared" si="23"/>
        <v>#DIV/0!</v>
      </c>
      <c r="I29" s="12">
        <f t="shared" si="23"/>
        <v>0.1111111111111111</v>
      </c>
      <c r="J29" s="12">
        <f t="shared" si="23"/>
        <v>0.125</v>
      </c>
      <c r="K29" s="12">
        <f t="shared" si="23"/>
        <v>0.10344827586206896</v>
      </c>
      <c r="L29" s="12">
        <f t="shared" si="23"/>
        <v>7.1428571428571425E-2</v>
      </c>
      <c r="M29" s="12">
        <f t="shared" si="23"/>
        <v>5.2631578947368418E-2</v>
      </c>
      <c r="N29" s="12">
        <f t="shared" si="23"/>
        <v>0</v>
      </c>
      <c r="O29" s="12" t="e">
        <f t="shared" si="23"/>
        <v>#DIV/0!</v>
      </c>
      <c r="P29" s="12">
        <f t="shared" si="23"/>
        <v>9.5238095238095233E-2</v>
      </c>
      <c r="Q29" s="12">
        <f t="shared" si="23"/>
        <v>7.6923076923076927E-2</v>
      </c>
      <c r="R29" s="12">
        <f t="shared" si="23"/>
        <v>0.08</v>
      </c>
      <c r="S29" s="12">
        <f t="shared" si="23"/>
        <v>9.0909090909090912E-2</v>
      </c>
      <c r="T29" s="12">
        <f t="shared" si="23"/>
        <v>8.1081081081081086E-2</v>
      </c>
      <c r="U29" s="12">
        <f t="shared" si="23"/>
        <v>0.05</v>
      </c>
      <c r="V29" s="12" t="e">
        <f t="shared" si="23"/>
        <v>#DIV/0!</v>
      </c>
      <c r="W29" s="12">
        <f t="shared" si="23"/>
        <v>0.14285714285714285</v>
      </c>
      <c r="X29" s="12">
        <f t="shared" si="23"/>
        <v>6.4516129032258063E-2</v>
      </c>
      <c r="Y29" s="12">
        <f t="shared" si="23"/>
        <v>6.0606060606060608E-2</v>
      </c>
      <c r="Z29" s="12">
        <f t="shared" si="23"/>
        <v>6.0606060606060608E-2</v>
      </c>
      <c r="AA29" s="12">
        <f t="shared" si="23"/>
        <v>0</v>
      </c>
      <c r="AB29" s="12">
        <f t="shared" si="23"/>
        <v>0</v>
      </c>
      <c r="AC29" s="12" t="e">
        <f t="shared" si="23"/>
        <v>#DIV/0!</v>
      </c>
      <c r="AD29" s="12">
        <f t="shared" si="23"/>
        <v>0.16666666666666666</v>
      </c>
      <c r="AE29" s="12">
        <f t="shared" si="23"/>
        <v>2.8571428571428571E-2</v>
      </c>
      <c r="AF29" s="12">
        <f t="shared" si="23"/>
        <v>6.6666666666666666E-2</v>
      </c>
    </row>
    <row r="30" spans="1:32">
      <c r="A30" s="17"/>
      <c r="B30" s="11">
        <f>SUM(B27:B29)</f>
        <v>1</v>
      </c>
      <c r="C30" s="11">
        <f t="shared" ref="C30:AF30" si="25">SUM(C27:C29)</f>
        <v>1</v>
      </c>
      <c r="D30" s="11">
        <f t="shared" si="25"/>
        <v>1</v>
      </c>
      <c r="E30" s="11">
        <f t="shared" si="25"/>
        <v>1</v>
      </c>
      <c r="F30" s="11">
        <f t="shared" si="25"/>
        <v>1</v>
      </c>
      <c r="G30" s="11">
        <f t="shared" si="25"/>
        <v>1</v>
      </c>
      <c r="H30" s="11" t="e">
        <f t="shared" si="25"/>
        <v>#DIV/0!</v>
      </c>
      <c r="I30" s="11">
        <f t="shared" si="25"/>
        <v>1</v>
      </c>
      <c r="J30" s="11">
        <f t="shared" si="25"/>
        <v>1</v>
      </c>
      <c r="K30" s="11">
        <f t="shared" si="25"/>
        <v>1</v>
      </c>
      <c r="L30" s="11">
        <f t="shared" si="25"/>
        <v>1</v>
      </c>
      <c r="M30" s="11">
        <f t="shared" si="25"/>
        <v>1</v>
      </c>
      <c r="N30" s="11">
        <f t="shared" si="25"/>
        <v>1</v>
      </c>
      <c r="O30" s="11" t="e">
        <f t="shared" si="25"/>
        <v>#DIV/0!</v>
      </c>
      <c r="P30" s="11">
        <f t="shared" si="25"/>
        <v>0.99999999999999989</v>
      </c>
      <c r="Q30" s="11">
        <f t="shared" si="25"/>
        <v>1</v>
      </c>
      <c r="R30" s="11">
        <f t="shared" si="25"/>
        <v>0.99999999999999989</v>
      </c>
      <c r="S30" s="11">
        <f t="shared" si="25"/>
        <v>1</v>
      </c>
      <c r="T30" s="11">
        <f t="shared" si="25"/>
        <v>1</v>
      </c>
      <c r="U30" s="11">
        <f t="shared" si="25"/>
        <v>1</v>
      </c>
      <c r="V30" s="11" t="e">
        <f t="shared" si="25"/>
        <v>#DIV/0!</v>
      </c>
      <c r="W30" s="11">
        <f t="shared" si="25"/>
        <v>1</v>
      </c>
      <c r="X30" s="11">
        <f t="shared" si="25"/>
        <v>1</v>
      </c>
      <c r="Y30" s="11">
        <f t="shared" si="25"/>
        <v>1</v>
      </c>
      <c r="Z30" s="11">
        <f t="shared" si="25"/>
        <v>1</v>
      </c>
      <c r="AA30" s="11">
        <f t="shared" si="25"/>
        <v>1</v>
      </c>
      <c r="AB30" s="11">
        <f t="shared" si="25"/>
        <v>1</v>
      </c>
      <c r="AC30" s="11" t="e">
        <f t="shared" si="25"/>
        <v>#DIV/0!</v>
      </c>
      <c r="AD30" s="11">
        <f t="shared" si="25"/>
        <v>1</v>
      </c>
      <c r="AE30" s="11">
        <f t="shared" si="25"/>
        <v>0.99999999999999989</v>
      </c>
      <c r="AF30" s="11">
        <f t="shared" si="25"/>
        <v>1</v>
      </c>
    </row>
    <row r="31" spans="1:32">
      <c r="B31">
        <v>47</v>
      </c>
      <c r="H31">
        <v>1</v>
      </c>
    </row>
  </sheetData>
  <phoneticPr fontId="20" type="noConversion"/>
  <pageMargins left="0.511811024" right="0.511811024" top="0.78740157499999996" bottom="0.78740157499999996" header="0.31496062000000002" footer="0.31496062000000002"/>
  <ignoredErrors>
    <ignoredError sqref="D7:AF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4749-AC0A-48DE-BB3B-0CC5F4728D30}">
  <sheetPr codeName="Planilha2"/>
  <dimension ref="B1:AR111"/>
  <sheetViews>
    <sheetView showGridLines="0" zoomScaleNormal="100" workbookViewId="0">
      <pane xSplit="2" ySplit="3" topLeftCell="C4" activePane="bottomRight" state="frozen"/>
      <selection pane="topRight" activeCell="B1" sqref="B1"/>
      <selection pane="bottomLeft" activeCell="A3" sqref="A3"/>
      <selection pane="bottomRight" activeCell="H11" sqref="H11"/>
    </sheetView>
  </sheetViews>
  <sheetFormatPr defaultRowHeight="14.4"/>
  <cols>
    <col min="1" max="1" width="0.77734375" customWidth="1"/>
    <col min="2" max="2" width="24.6640625" customWidth="1"/>
    <col min="3" max="33" width="5.6640625" customWidth="1"/>
    <col min="34" max="35" width="8.88671875" style="142" customWidth="1"/>
    <col min="36" max="36" width="11.21875" bestFit="1" customWidth="1"/>
    <col min="37" max="37" width="8.88671875" style="142"/>
    <col min="38" max="38" width="11.88671875" bestFit="1" customWidth="1"/>
    <col min="39" max="39" width="13.5546875" bestFit="1" customWidth="1"/>
    <col min="44" max="44" width="11.44140625" bestFit="1" customWidth="1"/>
  </cols>
  <sheetData>
    <row r="1" spans="2:41" ht="4.8" customHeight="1"/>
    <row r="2" spans="2:41" ht="27" customHeight="1">
      <c r="B2" s="150"/>
      <c r="C2" s="145">
        <v>46204</v>
      </c>
      <c r="D2" s="145">
        <v>46205</v>
      </c>
      <c r="E2" s="145">
        <v>46206</v>
      </c>
      <c r="F2" s="154">
        <v>46207</v>
      </c>
      <c r="G2" s="154">
        <v>46208</v>
      </c>
      <c r="H2" s="145">
        <v>46209</v>
      </c>
      <c r="I2" s="145">
        <v>46210</v>
      </c>
      <c r="J2" s="145">
        <v>46211</v>
      </c>
      <c r="K2" s="145">
        <v>46212</v>
      </c>
      <c r="L2" s="145">
        <v>46213</v>
      </c>
      <c r="M2" s="154">
        <v>46214</v>
      </c>
      <c r="N2" s="154">
        <v>46215</v>
      </c>
      <c r="O2" s="145">
        <v>46216</v>
      </c>
      <c r="P2" s="145">
        <v>46217</v>
      </c>
      <c r="Q2" s="145">
        <v>46218</v>
      </c>
      <c r="R2" s="145">
        <v>46219</v>
      </c>
      <c r="S2" s="145">
        <v>46220</v>
      </c>
      <c r="T2" s="154">
        <v>46221</v>
      </c>
      <c r="U2" s="154">
        <v>46222</v>
      </c>
      <c r="V2" s="145">
        <v>46223</v>
      </c>
      <c r="W2" s="145">
        <v>46224</v>
      </c>
      <c r="X2" s="145">
        <v>46225</v>
      </c>
      <c r="Y2" s="145">
        <v>46226</v>
      </c>
      <c r="Z2" s="145">
        <v>46227</v>
      </c>
      <c r="AA2" s="154">
        <v>46228</v>
      </c>
      <c r="AB2" s="154">
        <v>46229</v>
      </c>
      <c r="AC2" s="145">
        <v>46230</v>
      </c>
      <c r="AD2" s="145">
        <v>46231</v>
      </c>
      <c r="AE2" s="145">
        <v>46232</v>
      </c>
      <c r="AF2" s="145">
        <v>46233</v>
      </c>
      <c r="AG2" s="145">
        <v>46234</v>
      </c>
      <c r="AH2" s="147" t="s">
        <v>4</v>
      </c>
      <c r="AI2" s="147" t="s">
        <v>14</v>
      </c>
      <c r="AJ2" s="147" t="s">
        <v>65</v>
      </c>
      <c r="AK2" s="147" t="s">
        <v>14</v>
      </c>
      <c r="AL2" s="171" t="s">
        <v>64</v>
      </c>
      <c r="AM2" s="171" t="s">
        <v>63</v>
      </c>
    </row>
    <row r="3" spans="2:41" ht="22.8" customHeight="1">
      <c r="B3" s="150"/>
      <c r="C3" s="145" t="s">
        <v>51</v>
      </c>
      <c r="D3" s="145" t="s">
        <v>52</v>
      </c>
      <c r="E3" s="145" t="s">
        <v>53</v>
      </c>
      <c r="F3" s="154" t="s">
        <v>54</v>
      </c>
      <c r="G3" s="154" t="s">
        <v>55</v>
      </c>
      <c r="H3" s="145" t="s">
        <v>49</v>
      </c>
      <c r="I3" s="145" t="s">
        <v>50</v>
      </c>
      <c r="J3" s="145" t="s">
        <v>51</v>
      </c>
      <c r="K3" s="145" t="s">
        <v>52</v>
      </c>
      <c r="L3" s="145" t="s">
        <v>53</v>
      </c>
      <c r="M3" s="154" t="s">
        <v>54</v>
      </c>
      <c r="N3" s="154" t="s">
        <v>55</v>
      </c>
      <c r="O3" s="145" t="s">
        <v>49</v>
      </c>
      <c r="P3" s="145" t="s">
        <v>50</v>
      </c>
      <c r="Q3" s="145" t="s">
        <v>51</v>
      </c>
      <c r="R3" s="145" t="s">
        <v>52</v>
      </c>
      <c r="S3" s="145" t="s">
        <v>53</v>
      </c>
      <c r="T3" s="154" t="s">
        <v>54</v>
      </c>
      <c r="U3" s="154" t="s">
        <v>55</v>
      </c>
      <c r="V3" s="145" t="s">
        <v>49</v>
      </c>
      <c r="W3" s="145" t="s">
        <v>50</v>
      </c>
      <c r="X3" s="145" t="s">
        <v>51</v>
      </c>
      <c r="Y3" s="145" t="s">
        <v>52</v>
      </c>
      <c r="Z3" s="145" t="s">
        <v>53</v>
      </c>
      <c r="AA3" s="154" t="s">
        <v>54</v>
      </c>
      <c r="AB3" s="154" t="s">
        <v>55</v>
      </c>
      <c r="AC3" s="145" t="s">
        <v>49</v>
      </c>
      <c r="AD3" s="145" t="s">
        <v>50</v>
      </c>
      <c r="AE3" s="145" t="s">
        <v>51</v>
      </c>
      <c r="AF3" s="145" t="s">
        <v>52</v>
      </c>
      <c r="AG3" s="145" t="s">
        <v>53</v>
      </c>
      <c r="AH3" s="58"/>
      <c r="AI3" s="58"/>
      <c r="AJ3" s="146"/>
      <c r="AK3" s="58"/>
      <c r="AL3" s="146"/>
    </row>
    <row r="4" spans="2:41">
      <c r="B4" s="14" t="s">
        <v>0</v>
      </c>
      <c r="C4" s="148">
        <v>18</v>
      </c>
      <c r="D4" s="148">
        <v>29</v>
      </c>
      <c r="E4" s="148">
        <v>15</v>
      </c>
      <c r="F4" s="155">
        <v>12</v>
      </c>
      <c r="G4" s="155">
        <v>10</v>
      </c>
      <c r="H4" s="148">
        <v>16</v>
      </c>
      <c r="I4" s="148">
        <v>19</v>
      </c>
      <c r="J4" s="148">
        <v>20</v>
      </c>
      <c r="K4" s="148">
        <v>13</v>
      </c>
      <c r="L4" s="148">
        <v>18</v>
      </c>
      <c r="M4" s="155">
        <v>15</v>
      </c>
      <c r="N4" s="155">
        <v>0</v>
      </c>
      <c r="O4" s="148">
        <v>7</v>
      </c>
      <c r="P4" s="148">
        <v>20</v>
      </c>
      <c r="Q4" s="148">
        <v>23</v>
      </c>
      <c r="R4" s="148">
        <v>18</v>
      </c>
      <c r="S4" s="148">
        <v>16</v>
      </c>
      <c r="T4" s="155">
        <v>18</v>
      </c>
      <c r="U4" s="155">
        <v>11</v>
      </c>
      <c r="V4" s="148">
        <v>13</v>
      </c>
      <c r="W4" s="148">
        <v>23</v>
      </c>
      <c r="X4" s="148">
        <v>18</v>
      </c>
      <c r="Y4" s="148">
        <v>20</v>
      </c>
      <c r="Z4" s="148">
        <v>15</v>
      </c>
      <c r="AA4" s="155">
        <v>25</v>
      </c>
      <c r="AB4" s="155">
        <v>0</v>
      </c>
      <c r="AC4" s="148">
        <v>7</v>
      </c>
      <c r="AD4" s="148">
        <v>26</v>
      </c>
      <c r="AE4" s="148">
        <v>21</v>
      </c>
      <c r="AF4" s="148">
        <v>18</v>
      </c>
      <c r="AG4" s="148">
        <v>19</v>
      </c>
      <c r="AH4" s="147">
        <f>SUM(C4:AG4)</f>
        <v>503</v>
      </c>
      <c r="AI4" s="151">
        <f>AH4/$AH$8</f>
        <v>0.61566707466340265</v>
      </c>
      <c r="AJ4" s="147">
        <f>AH4</f>
        <v>503</v>
      </c>
      <c r="AK4" s="151">
        <f>AJ4/AJ8</f>
        <v>0.65494791666666663</v>
      </c>
      <c r="AL4" s="174">
        <v>47</v>
      </c>
      <c r="AM4" s="171">
        <f>AJ4/AL4</f>
        <v>10.702127659574469</v>
      </c>
      <c r="AO4">
        <f>503-AJ4</f>
        <v>0</v>
      </c>
    </row>
    <row r="5" spans="2:41">
      <c r="B5" s="14" t="s">
        <v>1</v>
      </c>
      <c r="C5" s="148">
        <v>0</v>
      </c>
      <c r="D5" s="148">
        <v>0</v>
      </c>
      <c r="E5" s="148">
        <v>0</v>
      </c>
      <c r="F5" s="155">
        <v>1</v>
      </c>
      <c r="G5" s="155">
        <v>0</v>
      </c>
      <c r="H5" s="148">
        <v>1</v>
      </c>
      <c r="I5" s="148">
        <v>4</v>
      </c>
      <c r="J5" s="148">
        <v>2</v>
      </c>
      <c r="K5" s="148">
        <v>1</v>
      </c>
      <c r="L5" s="148">
        <v>0</v>
      </c>
      <c r="M5" s="155">
        <v>2</v>
      </c>
      <c r="N5" s="155">
        <v>0</v>
      </c>
      <c r="O5" s="148">
        <v>1</v>
      </c>
      <c r="P5" s="148">
        <v>1</v>
      </c>
      <c r="Q5" s="148">
        <v>3</v>
      </c>
      <c r="R5" s="148">
        <v>2</v>
      </c>
      <c r="S5" s="148">
        <v>3</v>
      </c>
      <c r="T5" s="155">
        <v>0</v>
      </c>
      <c r="U5" s="155">
        <v>0</v>
      </c>
      <c r="V5" s="148">
        <v>0</v>
      </c>
      <c r="W5" s="148">
        <v>1</v>
      </c>
      <c r="X5" s="148">
        <v>1</v>
      </c>
      <c r="Y5" s="148">
        <v>0</v>
      </c>
      <c r="Z5" s="148">
        <v>0</v>
      </c>
      <c r="AA5" s="155">
        <v>0</v>
      </c>
      <c r="AB5" s="155">
        <v>0</v>
      </c>
      <c r="AC5" s="148">
        <v>0</v>
      </c>
      <c r="AD5" s="148">
        <v>0</v>
      </c>
      <c r="AE5" s="148">
        <v>1</v>
      </c>
      <c r="AF5" s="148">
        <v>1</v>
      </c>
      <c r="AG5" s="148">
        <v>0</v>
      </c>
      <c r="AH5" s="147">
        <f>SUM(C5:AG5)</f>
        <v>25</v>
      </c>
      <c r="AI5" s="151">
        <f>AH5/$AH$8</f>
        <v>3.0599755201958383E-2</v>
      </c>
      <c r="AJ5" s="147">
        <f>AH6+AH5</f>
        <v>265</v>
      </c>
      <c r="AK5" s="151">
        <f>AJ5/AJ8</f>
        <v>0.34505208333333331</v>
      </c>
      <c r="AL5" s="146"/>
    </row>
    <row r="6" spans="2:41">
      <c r="B6" s="14" t="s">
        <v>2</v>
      </c>
      <c r="C6" s="148">
        <v>13</v>
      </c>
      <c r="D6" s="148">
        <v>14</v>
      </c>
      <c r="E6" s="148">
        <v>12</v>
      </c>
      <c r="F6" s="155">
        <v>11</v>
      </c>
      <c r="G6" s="155">
        <v>4</v>
      </c>
      <c r="H6" s="148">
        <v>13</v>
      </c>
      <c r="I6" s="148">
        <v>8</v>
      </c>
      <c r="J6" s="148">
        <v>7</v>
      </c>
      <c r="K6" s="148">
        <v>3</v>
      </c>
      <c r="L6" s="148">
        <v>7</v>
      </c>
      <c r="M6" s="155">
        <v>4</v>
      </c>
      <c r="N6" s="155">
        <v>0</v>
      </c>
      <c r="O6" s="148">
        <v>10</v>
      </c>
      <c r="P6" s="148">
        <v>9</v>
      </c>
      <c r="Q6" s="148">
        <v>10</v>
      </c>
      <c r="R6" s="148">
        <v>8</v>
      </c>
      <c r="S6" s="148">
        <v>8</v>
      </c>
      <c r="T6" s="155">
        <v>7</v>
      </c>
      <c r="U6" s="155">
        <v>1</v>
      </c>
      <c r="V6" s="148">
        <v>5</v>
      </c>
      <c r="W6" s="148">
        <v>10</v>
      </c>
      <c r="X6" s="148">
        <v>9</v>
      </c>
      <c r="Y6" s="148">
        <v>9</v>
      </c>
      <c r="Z6" s="148">
        <v>7</v>
      </c>
      <c r="AA6" s="155">
        <v>4</v>
      </c>
      <c r="AB6" s="155">
        <v>0</v>
      </c>
      <c r="AC6" s="148">
        <v>12</v>
      </c>
      <c r="AD6" s="148">
        <v>7</v>
      </c>
      <c r="AE6" s="148">
        <v>6</v>
      </c>
      <c r="AF6" s="148">
        <v>8</v>
      </c>
      <c r="AG6" s="148">
        <v>14</v>
      </c>
      <c r="AH6" s="147">
        <f t="shared" ref="AH6:AH7" si="0">SUM(C6:AG6)</f>
        <v>240</v>
      </c>
      <c r="AI6" s="151">
        <f>AH6/$AH$8</f>
        <v>0.29375764993880049</v>
      </c>
      <c r="AJ6" s="147"/>
      <c r="AK6" s="147"/>
      <c r="AL6" s="146"/>
    </row>
    <row r="7" spans="2:41">
      <c r="B7" s="14" t="s">
        <v>3</v>
      </c>
      <c r="C7" s="148">
        <v>1</v>
      </c>
      <c r="D7" s="148">
        <v>1</v>
      </c>
      <c r="E7" s="148">
        <v>2</v>
      </c>
      <c r="F7" s="155">
        <v>1</v>
      </c>
      <c r="G7" s="155">
        <v>0</v>
      </c>
      <c r="H7" s="148">
        <v>2</v>
      </c>
      <c r="I7" s="148">
        <v>3</v>
      </c>
      <c r="J7" s="148">
        <v>4</v>
      </c>
      <c r="K7" s="148">
        <v>0</v>
      </c>
      <c r="L7" s="148">
        <v>3</v>
      </c>
      <c r="M7" s="155">
        <v>1</v>
      </c>
      <c r="N7" s="155">
        <v>0</v>
      </c>
      <c r="O7" s="148">
        <v>1</v>
      </c>
      <c r="P7" s="148">
        <v>4</v>
      </c>
      <c r="Q7" s="148">
        <v>1</v>
      </c>
      <c r="R7" s="148">
        <v>1</v>
      </c>
      <c r="S7" s="148">
        <v>2</v>
      </c>
      <c r="T7" s="155">
        <v>2</v>
      </c>
      <c r="U7" s="155">
        <v>0</v>
      </c>
      <c r="V7" s="148">
        <v>2</v>
      </c>
      <c r="W7" s="148">
        <v>3</v>
      </c>
      <c r="X7" s="148">
        <v>2</v>
      </c>
      <c r="Y7" s="148">
        <v>2</v>
      </c>
      <c r="Z7" s="148">
        <v>2</v>
      </c>
      <c r="AA7" s="155">
        <v>0</v>
      </c>
      <c r="AB7" s="155">
        <v>0</v>
      </c>
      <c r="AC7" s="148">
        <v>1</v>
      </c>
      <c r="AD7" s="148">
        <v>1</v>
      </c>
      <c r="AE7" s="148">
        <v>1</v>
      </c>
      <c r="AF7" s="148">
        <v>5</v>
      </c>
      <c r="AG7" s="148">
        <v>1</v>
      </c>
      <c r="AH7" s="147">
        <f t="shared" si="0"/>
        <v>49</v>
      </c>
      <c r="AI7" s="151">
        <f>AH7/$AH$8</f>
        <v>5.9975520195838433E-2</v>
      </c>
      <c r="AJ7" s="147"/>
      <c r="AK7" s="147"/>
      <c r="AL7" s="146"/>
    </row>
    <row r="8" spans="2:41">
      <c r="B8" s="14" t="s">
        <v>4</v>
      </c>
      <c r="C8" s="147">
        <f t="shared" ref="C8:Z8" si="1">SUM(C4:C7)</f>
        <v>32</v>
      </c>
      <c r="D8" s="147">
        <f t="shared" si="1"/>
        <v>44</v>
      </c>
      <c r="E8" s="147">
        <f t="shared" si="1"/>
        <v>29</v>
      </c>
      <c r="F8" s="156">
        <f t="shared" si="1"/>
        <v>25</v>
      </c>
      <c r="G8" s="156">
        <f t="shared" si="1"/>
        <v>14</v>
      </c>
      <c r="H8" s="147">
        <f t="shared" si="1"/>
        <v>32</v>
      </c>
      <c r="I8" s="147">
        <f t="shared" si="1"/>
        <v>34</v>
      </c>
      <c r="J8" s="147">
        <f t="shared" si="1"/>
        <v>33</v>
      </c>
      <c r="K8" s="147">
        <f t="shared" si="1"/>
        <v>17</v>
      </c>
      <c r="L8" s="147">
        <f t="shared" si="1"/>
        <v>28</v>
      </c>
      <c r="M8" s="156">
        <f t="shared" si="1"/>
        <v>22</v>
      </c>
      <c r="N8" s="156">
        <f t="shared" si="1"/>
        <v>0</v>
      </c>
      <c r="O8" s="147">
        <f t="shared" si="1"/>
        <v>19</v>
      </c>
      <c r="P8" s="147">
        <f t="shared" si="1"/>
        <v>34</v>
      </c>
      <c r="Q8" s="147">
        <f t="shared" si="1"/>
        <v>37</v>
      </c>
      <c r="R8" s="147">
        <f t="shared" si="1"/>
        <v>29</v>
      </c>
      <c r="S8" s="147">
        <f t="shared" si="1"/>
        <v>29</v>
      </c>
      <c r="T8" s="156">
        <f t="shared" si="1"/>
        <v>27</v>
      </c>
      <c r="U8" s="156">
        <f t="shared" si="1"/>
        <v>12</v>
      </c>
      <c r="V8" s="147">
        <f t="shared" si="1"/>
        <v>20</v>
      </c>
      <c r="W8" s="147">
        <f t="shared" si="1"/>
        <v>37</v>
      </c>
      <c r="X8" s="147">
        <f t="shared" si="1"/>
        <v>30</v>
      </c>
      <c r="Y8" s="147">
        <f t="shared" si="1"/>
        <v>31</v>
      </c>
      <c r="Z8" s="147">
        <f t="shared" si="1"/>
        <v>24</v>
      </c>
      <c r="AA8" s="156">
        <f>SUM(AA4:AA7)</f>
        <v>29</v>
      </c>
      <c r="AB8" s="156">
        <v>0</v>
      </c>
      <c r="AC8" s="147">
        <f t="shared" ref="AC8:AJ8" si="2">SUM(AC4:AC7)</f>
        <v>20</v>
      </c>
      <c r="AD8" s="147">
        <f t="shared" si="2"/>
        <v>34</v>
      </c>
      <c r="AE8" s="147">
        <f t="shared" si="2"/>
        <v>29</v>
      </c>
      <c r="AF8" s="147">
        <f t="shared" si="2"/>
        <v>32</v>
      </c>
      <c r="AG8" s="147">
        <f t="shared" si="2"/>
        <v>34</v>
      </c>
      <c r="AH8" s="147">
        <f t="shared" si="2"/>
        <v>817</v>
      </c>
      <c r="AI8" s="152">
        <f t="shared" si="2"/>
        <v>0.99999999999999989</v>
      </c>
      <c r="AJ8" s="147">
        <f t="shared" si="2"/>
        <v>768</v>
      </c>
      <c r="AK8" s="58"/>
      <c r="AL8" s="146"/>
    </row>
    <row r="9" spans="2:41">
      <c r="B9" s="14"/>
      <c r="C9" s="147"/>
      <c r="D9" s="147"/>
      <c r="E9" s="147"/>
      <c r="F9" s="156"/>
      <c r="G9" s="156">
        <f>E4+F4+G4</f>
        <v>37</v>
      </c>
      <c r="H9" s="147"/>
      <c r="I9" s="147"/>
      <c r="J9" s="147"/>
      <c r="K9" s="147"/>
      <c r="L9" s="147"/>
      <c r="M9" s="156"/>
      <c r="N9" s="156">
        <f>L4+M4+N4</f>
        <v>33</v>
      </c>
      <c r="O9" s="147"/>
      <c r="P9" s="147"/>
      <c r="Q9" s="147"/>
      <c r="R9" s="147"/>
      <c r="S9" s="147"/>
      <c r="T9" s="156"/>
      <c r="U9" s="156">
        <f>S4+T4+U4</f>
        <v>45</v>
      </c>
      <c r="V9" s="147"/>
      <c r="W9" s="147"/>
      <c r="X9" s="147"/>
      <c r="Y9" s="147"/>
      <c r="Z9" s="147"/>
      <c r="AA9" s="156"/>
      <c r="AB9" s="156">
        <f>Z4+AA4+AB4</f>
        <v>40</v>
      </c>
      <c r="AC9" s="147"/>
      <c r="AD9" s="147"/>
      <c r="AE9" s="147"/>
      <c r="AF9" s="147"/>
      <c r="AG9" s="147"/>
      <c r="AH9" s="147"/>
      <c r="AI9" s="152"/>
      <c r="AJ9" s="147"/>
      <c r="AK9" s="58"/>
      <c r="AL9" s="146"/>
    </row>
    <row r="10" spans="2:41" ht="34.200000000000003" customHeight="1">
      <c r="B10" s="14"/>
      <c r="F10" s="157"/>
      <c r="G10" s="157"/>
      <c r="M10" s="157"/>
      <c r="N10" s="157"/>
      <c r="T10" s="157"/>
      <c r="U10" s="157"/>
      <c r="AA10" s="157"/>
      <c r="AB10" s="159"/>
      <c r="AH10" s="147" t="s">
        <v>4</v>
      </c>
      <c r="AI10" s="147" t="s">
        <v>14</v>
      </c>
      <c r="AJ10" s="147" t="s">
        <v>65</v>
      </c>
      <c r="AK10" s="147" t="s">
        <v>14</v>
      </c>
      <c r="AL10" s="171" t="s">
        <v>64</v>
      </c>
      <c r="AM10" s="171" t="s">
        <v>63</v>
      </c>
    </row>
    <row r="11" spans="2:41">
      <c r="B11" s="14" t="s">
        <v>0</v>
      </c>
      <c r="C11" s="148">
        <v>2</v>
      </c>
      <c r="D11" s="148">
        <v>3</v>
      </c>
      <c r="E11" s="142">
        <v>5</v>
      </c>
      <c r="F11" s="157"/>
      <c r="G11" s="157"/>
      <c r="H11" s="148">
        <v>4</v>
      </c>
      <c r="I11" s="148">
        <v>5</v>
      </c>
      <c r="J11" s="148">
        <v>3</v>
      </c>
      <c r="K11" s="148">
        <v>3</v>
      </c>
      <c r="L11" s="148">
        <v>4</v>
      </c>
      <c r="M11" s="155">
        <v>7</v>
      </c>
      <c r="N11" s="157"/>
      <c r="O11" s="148">
        <v>5</v>
      </c>
      <c r="P11" s="148">
        <v>6</v>
      </c>
      <c r="Q11" s="148">
        <v>7</v>
      </c>
      <c r="R11" s="148">
        <v>5</v>
      </c>
      <c r="S11" s="148">
        <v>6</v>
      </c>
      <c r="T11" s="155">
        <v>7</v>
      </c>
      <c r="U11" s="159">
        <v>0</v>
      </c>
      <c r="V11" s="148">
        <v>6</v>
      </c>
      <c r="W11" s="148">
        <v>5</v>
      </c>
      <c r="X11" s="148">
        <v>5</v>
      </c>
      <c r="Y11" s="148">
        <v>4</v>
      </c>
      <c r="Z11" s="148">
        <v>3</v>
      </c>
      <c r="AA11" s="159">
        <v>6</v>
      </c>
      <c r="AB11" s="159">
        <v>0</v>
      </c>
      <c r="AC11" s="148">
        <v>4</v>
      </c>
      <c r="AD11" s="148">
        <v>6</v>
      </c>
      <c r="AE11" s="148">
        <v>3</v>
      </c>
      <c r="AF11" s="148">
        <v>5</v>
      </c>
      <c r="AG11" s="148">
        <v>3</v>
      </c>
      <c r="AH11" s="143">
        <f>SUM(C11:AG11)</f>
        <v>122</v>
      </c>
      <c r="AI11" s="149">
        <f>AH11/$AH$15</f>
        <v>0.48031496062992124</v>
      </c>
      <c r="AJ11" s="143">
        <f>AH11</f>
        <v>122</v>
      </c>
      <c r="AK11" s="149">
        <f>AJ11/AJ15</f>
        <v>0.49593495934959347</v>
      </c>
      <c r="AL11" s="143">
        <f>C60</f>
        <v>12</v>
      </c>
      <c r="AM11" s="171">
        <f>AJ11/AL11</f>
        <v>10.166666666666666</v>
      </c>
    </row>
    <row r="12" spans="2:41">
      <c r="B12" s="14" t="s">
        <v>1</v>
      </c>
      <c r="C12" s="148">
        <v>0</v>
      </c>
      <c r="D12" s="148">
        <v>1</v>
      </c>
      <c r="E12" s="142">
        <v>0</v>
      </c>
      <c r="F12" s="157"/>
      <c r="G12" s="157"/>
      <c r="H12" s="148">
        <v>2</v>
      </c>
      <c r="I12" s="148">
        <v>2</v>
      </c>
      <c r="J12" s="148">
        <v>3</v>
      </c>
      <c r="K12" s="148">
        <v>0</v>
      </c>
      <c r="L12" s="148">
        <v>0</v>
      </c>
      <c r="M12" s="155">
        <v>0</v>
      </c>
      <c r="N12" s="157"/>
      <c r="O12" s="148">
        <v>1</v>
      </c>
      <c r="P12" s="148">
        <v>1</v>
      </c>
      <c r="Q12" s="148">
        <v>0</v>
      </c>
      <c r="R12" s="148">
        <v>1</v>
      </c>
      <c r="S12" s="148">
        <v>3</v>
      </c>
      <c r="T12" s="155">
        <v>0</v>
      </c>
      <c r="U12" s="159">
        <v>0</v>
      </c>
      <c r="V12" s="148">
        <v>3</v>
      </c>
      <c r="W12" s="148">
        <v>1</v>
      </c>
      <c r="X12" s="148">
        <v>2</v>
      </c>
      <c r="Y12" s="148">
        <v>2</v>
      </c>
      <c r="Z12" s="148">
        <v>1</v>
      </c>
      <c r="AA12" s="159">
        <v>0</v>
      </c>
      <c r="AB12" s="159">
        <v>0</v>
      </c>
      <c r="AC12" s="148">
        <v>2</v>
      </c>
      <c r="AD12" s="148">
        <v>4</v>
      </c>
      <c r="AE12" s="148">
        <v>4</v>
      </c>
      <c r="AF12" s="148">
        <v>2</v>
      </c>
      <c r="AG12" s="148">
        <v>4</v>
      </c>
      <c r="AH12" s="143">
        <f>SUM(C12:AG12)</f>
        <v>39</v>
      </c>
      <c r="AI12" s="149">
        <f>AH12/$AH$15</f>
        <v>0.15354330708661418</v>
      </c>
      <c r="AJ12" s="143">
        <f>AH12+AH13</f>
        <v>124</v>
      </c>
      <c r="AK12" s="149">
        <f>AJ12/AJ15</f>
        <v>0.50406504065040647</v>
      </c>
    </row>
    <row r="13" spans="2:41">
      <c r="B13" s="14" t="s">
        <v>2</v>
      </c>
      <c r="C13" s="148">
        <v>10</v>
      </c>
      <c r="D13" s="148">
        <v>3</v>
      </c>
      <c r="E13" s="142">
        <v>5</v>
      </c>
      <c r="F13" s="157"/>
      <c r="G13" s="157"/>
      <c r="H13" s="148">
        <v>2</v>
      </c>
      <c r="I13" s="148">
        <v>7</v>
      </c>
      <c r="J13" s="148">
        <v>7</v>
      </c>
      <c r="K13" s="148">
        <v>6</v>
      </c>
      <c r="L13" s="148">
        <v>5</v>
      </c>
      <c r="M13" s="155">
        <v>1</v>
      </c>
      <c r="N13" s="157"/>
      <c r="O13" s="148">
        <v>3</v>
      </c>
      <c r="P13" s="148">
        <v>4</v>
      </c>
      <c r="Q13" s="148">
        <v>7</v>
      </c>
      <c r="R13" s="148">
        <v>1</v>
      </c>
      <c r="S13" s="148">
        <v>6</v>
      </c>
      <c r="T13" s="155">
        <v>2</v>
      </c>
      <c r="U13" s="159">
        <v>0</v>
      </c>
      <c r="V13" s="148">
        <v>1</v>
      </c>
      <c r="W13" s="148">
        <v>3</v>
      </c>
      <c r="X13" s="148">
        <v>1</v>
      </c>
      <c r="Y13" s="148">
        <v>1</v>
      </c>
      <c r="Z13" s="148">
        <v>0</v>
      </c>
      <c r="AA13" s="159">
        <v>1</v>
      </c>
      <c r="AB13" s="159">
        <v>0</v>
      </c>
      <c r="AC13" s="148">
        <v>1</v>
      </c>
      <c r="AD13" s="148">
        <v>2</v>
      </c>
      <c r="AE13" s="148">
        <v>2</v>
      </c>
      <c r="AF13" s="148">
        <v>0</v>
      </c>
      <c r="AG13" s="148">
        <v>4</v>
      </c>
      <c r="AH13" s="143">
        <f>SUM(C13:AG13)</f>
        <v>85</v>
      </c>
      <c r="AI13" s="149">
        <f>AH13/$AH$15</f>
        <v>0.3346456692913386</v>
      </c>
      <c r="AJ13" s="150"/>
      <c r="AK13" s="143"/>
    </row>
    <row r="14" spans="2:41">
      <c r="B14" s="14" t="s">
        <v>3</v>
      </c>
      <c r="C14" s="148">
        <v>0</v>
      </c>
      <c r="D14" s="148">
        <v>0</v>
      </c>
      <c r="E14" s="142">
        <v>0</v>
      </c>
      <c r="F14" s="157"/>
      <c r="G14" s="157"/>
      <c r="H14" s="148">
        <v>1</v>
      </c>
      <c r="I14" s="148">
        <v>2</v>
      </c>
      <c r="J14" s="148">
        <v>2</v>
      </c>
      <c r="K14" s="148">
        <v>0</v>
      </c>
      <c r="L14" s="148">
        <v>0</v>
      </c>
      <c r="M14" s="155">
        <v>0</v>
      </c>
      <c r="N14" s="157"/>
      <c r="O14" s="148">
        <v>0</v>
      </c>
      <c r="P14" s="148">
        <v>0</v>
      </c>
      <c r="Q14" s="148">
        <v>1</v>
      </c>
      <c r="R14" s="148">
        <v>1</v>
      </c>
      <c r="S14" s="148">
        <v>0</v>
      </c>
      <c r="T14" s="155">
        <v>0</v>
      </c>
      <c r="U14" s="159">
        <v>0</v>
      </c>
      <c r="V14" s="148">
        <v>0</v>
      </c>
      <c r="W14" s="148">
        <v>0</v>
      </c>
      <c r="X14" s="148">
        <v>0</v>
      </c>
      <c r="Y14" s="148">
        <v>0</v>
      </c>
      <c r="Z14" s="148">
        <v>0</v>
      </c>
      <c r="AA14" s="159">
        <v>0</v>
      </c>
      <c r="AB14" s="159">
        <v>0</v>
      </c>
      <c r="AC14" s="148">
        <v>0</v>
      </c>
      <c r="AD14" s="148">
        <v>0</v>
      </c>
      <c r="AE14" s="148">
        <v>0</v>
      </c>
      <c r="AF14" s="148">
        <v>0</v>
      </c>
      <c r="AG14" s="148">
        <v>1</v>
      </c>
      <c r="AH14" s="143">
        <f>SUM(C14:AG14)</f>
        <v>8</v>
      </c>
      <c r="AI14" s="149">
        <f>AH14/$AH$15</f>
        <v>3.1496062992125984E-2</v>
      </c>
      <c r="AJ14" s="150"/>
      <c r="AK14" s="143"/>
    </row>
    <row r="15" spans="2:41">
      <c r="B15" s="14" t="s">
        <v>4</v>
      </c>
      <c r="C15" s="143">
        <f>SUM(C11:C14)</f>
        <v>12</v>
      </c>
      <c r="D15" s="143">
        <f t="shared" ref="D15:AH15" si="3">SUM(D11:D14)</f>
        <v>7</v>
      </c>
      <c r="E15" s="143">
        <f t="shared" si="3"/>
        <v>10</v>
      </c>
      <c r="F15" s="158">
        <f t="shared" si="3"/>
        <v>0</v>
      </c>
      <c r="G15" s="158">
        <f t="shared" si="3"/>
        <v>0</v>
      </c>
      <c r="H15" s="143">
        <f t="shared" si="3"/>
        <v>9</v>
      </c>
      <c r="I15" s="143">
        <f t="shared" si="3"/>
        <v>16</v>
      </c>
      <c r="J15" s="143">
        <f t="shared" si="3"/>
        <v>15</v>
      </c>
      <c r="K15" s="143">
        <f t="shared" si="3"/>
        <v>9</v>
      </c>
      <c r="L15" s="143">
        <f t="shared" si="3"/>
        <v>9</v>
      </c>
      <c r="M15" s="158">
        <f t="shared" si="3"/>
        <v>8</v>
      </c>
      <c r="N15" s="158">
        <f t="shared" si="3"/>
        <v>0</v>
      </c>
      <c r="O15" s="143">
        <f t="shared" si="3"/>
        <v>9</v>
      </c>
      <c r="P15" s="143">
        <f t="shared" si="3"/>
        <v>11</v>
      </c>
      <c r="Q15" s="143">
        <f t="shared" si="3"/>
        <v>15</v>
      </c>
      <c r="R15" s="143">
        <f t="shared" si="3"/>
        <v>8</v>
      </c>
      <c r="S15" s="143">
        <f t="shared" si="3"/>
        <v>15</v>
      </c>
      <c r="T15" s="158">
        <f t="shared" si="3"/>
        <v>9</v>
      </c>
      <c r="U15" s="158">
        <f t="shared" si="3"/>
        <v>0</v>
      </c>
      <c r="V15" s="143">
        <f t="shared" ref="V15:AA15" si="4">SUM(V11:V14)</f>
        <v>10</v>
      </c>
      <c r="W15" s="143">
        <f t="shared" si="4"/>
        <v>9</v>
      </c>
      <c r="X15" s="143">
        <f t="shared" si="4"/>
        <v>8</v>
      </c>
      <c r="Y15" s="143">
        <f t="shared" si="4"/>
        <v>7</v>
      </c>
      <c r="Z15" s="143">
        <f t="shared" si="4"/>
        <v>4</v>
      </c>
      <c r="AA15" s="158">
        <f t="shared" si="4"/>
        <v>7</v>
      </c>
      <c r="AB15" s="158">
        <v>0</v>
      </c>
      <c r="AC15" s="143">
        <f>SUM(AC11:AC14)</f>
        <v>7</v>
      </c>
      <c r="AD15" s="143">
        <f>SUM(AD11:AD14)</f>
        <v>12</v>
      </c>
      <c r="AE15" s="143">
        <f>SUM(AE11:AE14)</f>
        <v>9</v>
      </c>
      <c r="AF15" s="143">
        <f>SUM(AF11:AF14)</f>
        <v>7</v>
      </c>
      <c r="AG15" s="143">
        <f>SUM(AG11:AG14)</f>
        <v>12</v>
      </c>
      <c r="AH15" s="143">
        <f t="shared" si="3"/>
        <v>254</v>
      </c>
      <c r="AI15" s="149">
        <f>AH15/$AH$15</f>
        <v>1</v>
      </c>
      <c r="AJ15" s="143">
        <f>SUM(AJ11:AJ14)</f>
        <v>246</v>
      </c>
      <c r="AK15" s="143"/>
    </row>
    <row r="16" spans="2:41">
      <c r="B16" s="14"/>
      <c r="C16" s="143"/>
      <c r="D16" s="143"/>
      <c r="E16" s="143"/>
      <c r="F16" s="158"/>
      <c r="G16" s="156">
        <f>E11+F11+G11</f>
        <v>5</v>
      </c>
      <c r="H16" s="143"/>
      <c r="I16" s="143"/>
      <c r="J16" s="143"/>
      <c r="K16" s="143"/>
      <c r="L16" s="143"/>
      <c r="M16" s="158"/>
      <c r="N16" s="156">
        <f>L11+M11+N11</f>
        <v>11</v>
      </c>
      <c r="O16" s="143"/>
      <c r="P16" s="143"/>
      <c r="Q16" s="143"/>
      <c r="R16" s="143"/>
      <c r="S16" s="143"/>
      <c r="T16" s="158"/>
      <c r="U16" s="156">
        <f>S11+T11+U11</f>
        <v>13</v>
      </c>
      <c r="V16" s="143"/>
      <c r="W16" s="143"/>
      <c r="X16" s="143"/>
      <c r="Y16" s="143"/>
      <c r="Z16" s="143"/>
      <c r="AA16" s="158"/>
      <c r="AB16" s="156">
        <f>Z11+AA11+AB11</f>
        <v>9</v>
      </c>
      <c r="AC16" s="143"/>
      <c r="AD16" s="143"/>
      <c r="AE16" s="143"/>
      <c r="AF16" s="143"/>
      <c r="AG16" s="143"/>
      <c r="AH16" s="143"/>
      <c r="AI16" s="149"/>
      <c r="AJ16" s="143"/>
      <c r="AK16" s="143"/>
    </row>
    <row r="17" spans="2:44" ht="31.2" customHeight="1">
      <c r="B17" s="14"/>
      <c r="C17" s="143"/>
      <c r="D17" s="143"/>
      <c r="E17" s="143"/>
      <c r="F17" s="158"/>
      <c r="G17" s="158"/>
      <c r="H17" s="143"/>
      <c r="I17" s="143"/>
      <c r="J17" s="143"/>
      <c r="K17" s="143"/>
      <c r="L17" s="143"/>
      <c r="M17" s="158"/>
      <c r="N17" s="158"/>
      <c r="O17" s="143"/>
      <c r="P17" s="143"/>
      <c r="Q17" s="143"/>
      <c r="R17" s="143"/>
      <c r="S17" s="143"/>
      <c r="T17" s="158"/>
      <c r="U17" s="158"/>
      <c r="V17" s="143"/>
      <c r="W17" s="143"/>
      <c r="X17" s="143"/>
      <c r="Y17" s="143"/>
      <c r="Z17" s="143"/>
      <c r="AA17" s="158"/>
      <c r="AB17" s="158"/>
      <c r="AC17" s="143"/>
      <c r="AD17" s="143"/>
      <c r="AE17" s="143"/>
      <c r="AF17" s="143"/>
      <c r="AG17" s="143"/>
      <c r="AH17" s="147" t="s">
        <v>4</v>
      </c>
      <c r="AI17" s="147" t="s">
        <v>14</v>
      </c>
      <c r="AJ17" s="147" t="s">
        <v>65</v>
      </c>
      <c r="AK17" s="147" t="s">
        <v>14</v>
      </c>
      <c r="AL17" s="171" t="s">
        <v>64</v>
      </c>
      <c r="AM17" s="171" t="s">
        <v>63</v>
      </c>
    </row>
    <row r="18" spans="2:44">
      <c r="B18" s="14" t="s">
        <v>0</v>
      </c>
      <c r="C18" s="148">
        <v>8</v>
      </c>
      <c r="D18" s="148">
        <v>6</v>
      </c>
      <c r="E18" s="148">
        <v>8</v>
      </c>
      <c r="F18" s="159">
        <v>11</v>
      </c>
      <c r="G18" s="159">
        <v>0</v>
      </c>
      <c r="H18" s="148">
        <v>8</v>
      </c>
      <c r="I18" s="148">
        <v>9</v>
      </c>
      <c r="J18" s="148">
        <v>12</v>
      </c>
      <c r="K18" s="148">
        <v>9</v>
      </c>
      <c r="L18" s="148">
        <v>0</v>
      </c>
      <c r="M18" s="155">
        <v>15</v>
      </c>
      <c r="N18" s="155">
        <v>3</v>
      </c>
      <c r="O18" s="148">
        <v>11</v>
      </c>
      <c r="P18" s="148">
        <v>11</v>
      </c>
      <c r="Q18" s="148">
        <v>7</v>
      </c>
      <c r="R18" s="148">
        <v>8</v>
      </c>
      <c r="S18" s="148">
        <v>5</v>
      </c>
      <c r="T18" s="159">
        <v>12</v>
      </c>
      <c r="U18" s="159">
        <v>0</v>
      </c>
      <c r="V18" s="148">
        <v>6</v>
      </c>
      <c r="W18" s="148">
        <v>9</v>
      </c>
      <c r="X18" s="148">
        <v>14</v>
      </c>
      <c r="Y18" s="148">
        <v>13</v>
      </c>
      <c r="Z18" s="148">
        <v>6</v>
      </c>
      <c r="AA18" s="159">
        <v>15</v>
      </c>
      <c r="AB18" s="159">
        <v>0</v>
      </c>
      <c r="AC18" s="148">
        <v>8</v>
      </c>
      <c r="AD18" s="148">
        <v>9</v>
      </c>
      <c r="AE18" s="148">
        <v>13</v>
      </c>
      <c r="AF18" s="148">
        <v>7</v>
      </c>
      <c r="AG18" s="148">
        <v>11</v>
      </c>
      <c r="AH18" s="143">
        <f>SUM(C18:AG18)</f>
        <v>254</v>
      </c>
      <c r="AI18" s="149">
        <f>AH18/$AH$22</f>
        <v>0.65463917525773196</v>
      </c>
      <c r="AJ18" s="143">
        <f>AH18</f>
        <v>254</v>
      </c>
      <c r="AK18" s="149">
        <f>AJ18/AJ22</f>
        <v>0.69398907103825136</v>
      </c>
      <c r="AL18" s="143">
        <f>C63</f>
        <v>20</v>
      </c>
      <c r="AM18" s="143">
        <f>AJ18/AL18</f>
        <v>12.7</v>
      </c>
    </row>
    <row r="19" spans="2:44">
      <c r="B19" s="14" t="s">
        <v>1</v>
      </c>
      <c r="C19" s="148">
        <v>0</v>
      </c>
      <c r="D19" s="148">
        <v>0</v>
      </c>
      <c r="E19" s="148">
        <v>0</v>
      </c>
      <c r="F19" s="159">
        <v>1</v>
      </c>
      <c r="G19" s="159">
        <v>0</v>
      </c>
      <c r="H19" s="148">
        <v>0</v>
      </c>
      <c r="I19" s="148">
        <v>0</v>
      </c>
      <c r="J19" s="148">
        <v>2</v>
      </c>
      <c r="K19" s="148">
        <v>1</v>
      </c>
      <c r="L19" s="148">
        <v>3</v>
      </c>
      <c r="M19" s="155">
        <v>2</v>
      </c>
      <c r="N19" s="155">
        <v>0</v>
      </c>
      <c r="O19" s="148">
        <v>0</v>
      </c>
      <c r="P19" s="148">
        <v>3</v>
      </c>
      <c r="Q19" s="148">
        <v>5</v>
      </c>
      <c r="R19" s="148">
        <v>5</v>
      </c>
      <c r="S19" s="148">
        <v>1</v>
      </c>
      <c r="T19" s="159">
        <v>0</v>
      </c>
      <c r="U19" s="159">
        <v>0</v>
      </c>
      <c r="V19" s="148">
        <v>0</v>
      </c>
      <c r="W19" s="148">
        <v>1</v>
      </c>
      <c r="X19" s="148">
        <v>1</v>
      </c>
      <c r="Y19" s="148">
        <v>0</v>
      </c>
      <c r="Z19" s="148">
        <v>0</v>
      </c>
      <c r="AA19" s="159">
        <v>0</v>
      </c>
      <c r="AB19" s="159">
        <v>0</v>
      </c>
      <c r="AC19" s="148">
        <v>0</v>
      </c>
      <c r="AD19" s="148">
        <v>0</v>
      </c>
      <c r="AE19" s="148">
        <v>0</v>
      </c>
      <c r="AF19" s="148">
        <v>0</v>
      </c>
      <c r="AG19" s="148">
        <v>0</v>
      </c>
      <c r="AH19" s="143">
        <f>SUM(C19:AG19)</f>
        <v>25</v>
      </c>
      <c r="AI19" s="149">
        <f>AH19/$AH$22</f>
        <v>6.4432989690721643E-2</v>
      </c>
      <c r="AJ19" s="143">
        <f>AH19+AH20</f>
        <v>112</v>
      </c>
      <c r="AK19" s="149">
        <f>AJ19/AJ22</f>
        <v>0.30601092896174864</v>
      </c>
    </row>
    <row r="20" spans="2:44">
      <c r="B20" s="14" t="s">
        <v>2</v>
      </c>
      <c r="C20" s="148">
        <v>6</v>
      </c>
      <c r="D20" s="148">
        <v>2</v>
      </c>
      <c r="E20" s="148">
        <v>5</v>
      </c>
      <c r="F20" s="159">
        <v>2</v>
      </c>
      <c r="G20" s="159">
        <v>0</v>
      </c>
      <c r="H20" s="148">
        <v>7</v>
      </c>
      <c r="I20" s="148">
        <v>5</v>
      </c>
      <c r="J20" s="148">
        <v>3</v>
      </c>
      <c r="K20" s="148">
        <v>6</v>
      </c>
      <c r="L20" s="148">
        <v>3</v>
      </c>
      <c r="M20" s="155">
        <v>1</v>
      </c>
      <c r="N20" s="155">
        <v>0</v>
      </c>
      <c r="O20" s="148">
        <v>1</v>
      </c>
      <c r="P20" s="148">
        <v>2</v>
      </c>
      <c r="Q20" s="148">
        <v>3</v>
      </c>
      <c r="R20" s="148">
        <v>3</v>
      </c>
      <c r="S20" s="148">
        <v>2</v>
      </c>
      <c r="T20" s="159">
        <v>2</v>
      </c>
      <c r="U20" s="159">
        <v>0</v>
      </c>
      <c r="V20" s="148">
        <v>5</v>
      </c>
      <c r="W20" s="148">
        <v>6</v>
      </c>
      <c r="X20" s="148">
        <v>3</v>
      </c>
      <c r="Y20" s="148">
        <v>4</v>
      </c>
      <c r="Z20" s="148">
        <v>3</v>
      </c>
      <c r="AA20" s="159">
        <v>0</v>
      </c>
      <c r="AB20" s="159">
        <v>0</v>
      </c>
      <c r="AC20" s="148">
        <v>1</v>
      </c>
      <c r="AD20" s="148">
        <v>2</v>
      </c>
      <c r="AE20" s="148">
        <v>2</v>
      </c>
      <c r="AF20" s="148">
        <v>2</v>
      </c>
      <c r="AG20" s="148">
        <v>6</v>
      </c>
      <c r="AH20" s="143">
        <f>SUM(C20:AG20)</f>
        <v>87</v>
      </c>
      <c r="AI20" s="149">
        <f>AH20/$AH$22</f>
        <v>0.22422680412371135</v>
      </c>
      <c r="AJ20" s="143"/>
    </row>
    <row r="21" spans="2:44">
      <c r="B21" s="14" t="s">
        <v>3</v>
      </c>
      <c r="C21" s="148">
        <v>0</v>
      </c>
      <c r="D21" s="148">
        <v>0</v>
      </c>
      <c r="E21" s="148">
        <v>2</v>
      </c>
      <c r="F21" s="159">
        <v>0</v>
      </c>
      <c r="G21" s="159">
        <v>0</v>
      </c>
      <c r="H21" s="148">
        <v>1</v>
      </c>
      <c r="I21" s="148">
        <v>2</v>
      </c>
      <c r="J21" s="148">
        <v>0</v>
      </c>
      <c r="K21" s="148">
        <v>0</v>
      </c>
      <c r="L21" s="148">
        <v>1</v>
      </c>
      <c r="M21" s="155">
        <v>0</v>
      </c>
      <c r="N21" s="155">
        <v>0</v>
      </c>
      <c r="O21" s="148">
        <v>1</v>
      </c>
      <c r="P21" s="148">
        <v>3</v>
      </c>
      <c r="Q21" s="148">
        <v>1</v>
      </c>
      <c r="R21" s="148">
        <v>0</v>
      </c>
      <c r="S21" s="148">
        <v>1</v>
      </c>
      <c r="T21" s="159">
        <v>0</v>
      </c>
      <c r="U21" s="159">
        <v>0</v>
      </c>
      <c r="V21" s="148">
        <v>0</v>
      </c>
      <c r="W21" s="148">
        <v>2</v>
      </c>
      <c r="X21" s="148">
        <v>3</v>
      </c>
      <c r="Y21" s="148">
        <v>0</v>
      </c>
      <c r="Z21" s="148">
        <v>0</v>
      </c>
      <c r="AA21" s="159">
        <v>0</v>
      </c>
      <c r="AB21" s="159">
        <v>0</v>
      </c>
      <c r="AC21" s="148">
        <v>1</v>
      </c>
      <c r="AD21" s="148">
        <v>0</v>
      </c>
      <c r="AE21" s="148">
        <v>0</v>
      </c>
      <c r="AF21" s="148">
        <v>3</v>
      </c>
      <c r="AG21" s="148">
        <v>1</v>
      </c>
      <c r="AH21" s="143">
        <f>SUM(C21:AG21)</f>
        <v>22</v>
      </c>
      <c r="AI21" s="149">
        <f>AH21/$AH$22</f>
        <v>5.6701030927835051E-2</v>
      </c>
      <c r="AJ21" s="143"/>
      <c r="AR21" s="175"/>
    </row>
    <row r="22" spans="2:44">
      <c r="B22" s="14" t="s">
        <v>4</v>
      </c>
      <c r="C22" s="143">
        <f>SUM(C18:C21)</f>
        <v>14</v>
      </c>
      <c r="D22" s="143">
        <f t="shared" ref="D22:S22" si="5">SUM(D18:D21)</f>
        <v>8</v>
      </c>
      <c r="E22" s="143">
        <f t="shared" si="5"/>
        <v>15</v>
      </c>
      <c r="F22" s="158">
        <f t="shared" si="5"/>
        <v>14</v>
      </c>
      <c r="G22" s="158">
        <f t="shared" si="5"/>
        <v>0</v>
      </c>
      <c r="H22" s="143">
        <f t="shared" si="5"/>
        <v>16</v>
      </c>
      <c r="I22" s="143">
        <f t="shared" si="5"/>
        <v>16</v>
      </c>
      <c r="J22" s="143">
        <f t="shared" si="5"/>
        <v>17</v>
      </c>
      <c r="K22" s="143">
        <f t="shared" si="5"/>
        <v>16</v>
      </c>
      <c r="L22" s="143">
        <f t="shared" si="5"/>
        <v>7</v>
      </c>
      <c r="M22" s="158">
        <f t="shared" si="5"/>
        <v>18</v>
      </c>
      <c r="N22" s="158">
        <f t="shared" si="5"/>
        <v>3</v>
      </c>
      <c r="O22" s="143">
        <f t="shared" si="5"/>
        <v>13</v>
      </c>
      <c r="P22" s="143">
        <f t="shared" si="5"/>
        <v>19</v>
      </c>
      <c r="Q22" s="143">
        <f t="shared" si="5"/>
        <v>16</v>
      </c>
      <c r="R22" s="143">
        <f t="shared" si="5"/>
        <v>16</v>
      </c>
      <c r="S22" s="143">
        <f t="shared" si="5"/>
        <v>9</v>
      </c>
      <c r="T22" s="158">
        <f>SUM(T18:T21)</f>
        <v>14</v>
      </c>
      <c r="U22" s="159">
        <v>0</v>
      </c>
      <c r="V22" s="143">
        <f>SUM(V18:V21)</f>
        <v>11</v>
      </c>
      <c r="W22" s="143">
        <f>SUM(W18:W21)</f>
        <v>18</v>
      </c>
      <c r="X22" s="143">
        <f t="shared" ref="X22:Z22" si="6">SUM(X18:X21)</f>
        <v>21</v>
      </c>
      <c r="Y22" s="143">
        <f t="shared" si="6"/>
        <v>17</v>
      </c>
      <c r="Z22" s="143">
        <f t="shared" si="6"/>
        <v>9</v>
      </c>
      <c r="AA22" s="158">
        <f>SUM(AA18:AA21)</f>
        <v>15</v>
      </c>
      <c r="AB22" s="159">
        <v>0</v>
      </c>
      <c r="AC22" s="143">
        <f t="shared" ref="AC22:AJ22" si="7">SUM(AC18:AC21)</f>
        <v>10</v>
      </c>
      <c r="AD22" s="143">
        <f t="shared" si="7"/>
        <v>11</v>
      </c>
      <c r="AE22" s="143">
        <f t="shared" si="7"/>
        <v>15</v>
      </c>
      <c r="AF22" s="143">
        <f t="shared" si="7"/>
        <v>12</v>
      </c>
      <c r="AG22" s="143">
        <f t="shared" si="7"/>
        <v>18</v>
      </c>
      <c r="AH22" s="143">
        <f t="shared" si="7"/>
        <v>388</v>
      </c>
      <c r="AI22" s="153">
        <f t="shared" si="7"/>
        <v>1</v>
      </c>
      <c r="AJ22" s="143">
        <f t="shared" si="7"/>
        <v>366</v>
      </c>
    </row>
    <row r="23" spans="2:44">
      <c r="C23" s="143"/>
      <c r="D23" s="143"/>
      <c r="E23" s="143"/>
      <c r="F23" s="158"/>
      <c r="G23" s="156">
        <f>E18+F18+G18</f>
        <v>19</v>
      </c>
      <c r="H23" s="143"/>
      <c r="I23" s="143"/>
      <c r="J23" s="143"/>
      <c r="K23" s="143"/>
      <c r="L23" s="143"/>
      <c r="M23" s="158"/>
      <c r="N23" s="156">
        <f>L18+M18+N18</f>
        <v>18</v>
      </c>
      <c r="O23" s="143"/>
      <c r="P23" s="143"/>
      <c r="Q23" s="143"/>
      <c r="R23" s="143"/>
      <c r="S23" s="143"/>
      <c r="T23" s="158"/>
      <c r="U23" s="156">
        <f>S18+T18+U18</f>
        <v>17</v>
      </c>
      <c r="V23" s="143"/>
      <c r="W23" s="143"/>
      <c r="X23" s="143"/>
      <c r="Y23" s="143"/>
      <c r="Z23" s="143"/>
      <c r="AA23" s="158"/>
      <c r="AB23" s="156">
        <f>Z18+AA18+AB18</f>
        <v>21</v>
      </c>
      <c r="AC23" s="143"/>
      <c r="AH23" s="143"/>
      <c r="AI23" s="153"/>
      <c r="AJ23" s="143"/>
    </row>
    <row r="24" spans="2:44" ht="37.799999999999997" customHeight="1">
      <c r="B24" s="14"/>
      <c r="C24" s="143"/>
      <c r="D24" s="143"/>
      <c r="E24" s="143"/>
      <c r="F24" s="158"/>
      <c r="G24" s="158"/>
      <c r="H24" s="143"/>
      <c r="I24" s="143"/>
      <c r="J24" s="143"/>
      <c r="K24" s="143"/>
      <c r="L24" s="143"/>
      <c r="M24" s="158"/>
      <c r="N24" s="158"/>
      <c r="O24" s="143"/>
      <c r="P24" s="143"/>
      <c r="Q24" s="143"/>
      <c r="R24" s="143"/>
      <c r="S24" s="143"/>
      <c r="T24" s="158"/>
      <c r="U24" s="158"/>
      <c r="V24" s="143"/>
      <c r="W24" s="143"/>
      <c r="X24" s="143"/>
      <c r="Y24" s="143"/>
      <c r="Z24" s="143"/>
      <c r="AA24" s="158"/>
      <c r="AB24" s="158"/>
      <c r="AC24" s="143"/>
      <c r="AD24" s="143"/>
      <c r="AE24" s="143"/>
      <c r="AF24" s="143"/>
      <c r="AG24" s="143"/>
      <c r="AH24" s="147" t="s">
        <v>4</v>
      </c>
      <c r="AI24" s="147" t="s">
        <v>14</v>
      </c>
      <c r="AJ24" s="147" t="s">
        <v>65</v>
      </c>
      <c r="AK24" s="147" t="s">
        <v>14</v>
      </c>
      <c r="AL24" s="171" t="s">
        <v>64</v>
      </c>
      <c r="AM24" s="171" t="s">
        <v>63</v>
      </c>
    </row>
    <row r="25" spans="2:44">
      <c r="B25" s="14" t="s">
        <v>0</v>
      </c>
      <c r="C25" s="148">
        <v>10</v>
      </c>
      <c r="D25" s="148">
        <v>13</v>
      </c>
      <c r="E25" s="148">
        <v>3</v>
      </c>
      <c r="F25" s="159">
        <v>6</v>
      </c>
      <c r="G25" s="159">
        <v>5</v>
      </c>
      <c r="H25" s="148">
        <v>11</v>
      </c>
      <c r="I25" s="148">
        <v>7</v>
      </c>
      <c r="J25" s="148">
        <v>11</v>
      </c>
      <c r="K25" s="148">
        <v>8</v>
      </c>
      <c r="L25" s="148">
        <v>5</v>
      </c>
      <c r="M25" s="155">
        <v>5</v>
      </c>
      <c r="N25" s="155">
        <v>4</v>
      </c>
      <c r="O25" s="148">
        <v>0</v>
      </c>
      <c r="P25" s="148">
        <v>13</v>
      </c>
      <c r="Q25" s="148">
        <v>8</v>
      </c>
      <c r="R25" s="148">
        <v>10</v>
      </c>
      <c r="S25" s="148">
        <v>9</v>
      </c>
      <c r="T25" s="159">
        <v>15</v>
      </c>
      <c r="U25" s="159">
        <v>2</v>
      </c>
      <c r="V25" s="148">
        <v>5</v>
      </c>
      <c r="W25" s="148">
        <v>9</v>
      </c>
      <c r="X25" s="148">
        <v>9</v>
      </c>
      <c r="Y25" s="148">
        <v>11</v>
      </c>
      <c r="Z25" s="148">
        <v>8</v>
      </c>
      <c r="AA25" s="159">
        <v>11</v>
      </c>
      <c r="AB25" s="159">
        <v>0</v>
      </c>
      <c r="AC25" s="148">
        <v>9</v>
      </c>
      <c r="AD25" s="148">
        <v>8</v>
      </c>
      <c r="AE25" s="148">
        <v>9</v>
      </c>
      <c r="AF25" s="148">
        <v>10</v>
      </c>
      <c r="AG25" s="148">
        <v>8</v>
      </c>
      <c r="AH25" s="143">
        <f>SUM(C25:AG25)</f>
        <v>242</v>
      </c>
      <c r="AI25" s="149">
        <f>AH25/$AH$29</f>
        <v>0.55504587155963303</v>
      </c>
      <c r="AJ25" s="143">
        <f>AH25</f>
        <v>242</v>
      </c>
      <c r="AK25" s="149">
        <f>AJ25/AJ29</f>
        <v>0.58173076923076927</v>
      </c>
      <c r="AL25" s="143">
        <f>C66</f>
        <v>26</v>
      </c>
      <c r="AM25" s="171">
        <f>AJ25/AL25</f>
        <v>9.3076923076923084</v>
      </c>
    </row>
    <row r="26" spans="2:44">
      <c r="B26" s="14" t="s">
        <v>1</v>
      </c>
      <c r="C26" s="148">
        <v>0</v>
      </c>
      <c r="D26" s="148">
        <v>0</v>
      </c>
      <c r="E26" s="148">
        <v>0</v>
      </c>
      <c r="F26" s="159">
        <v>0</v>
      </c>
      <c r="G26" s="159">
        <v>0</v>
      </c>
      <c r="H26" s="148">
        <v>1</v>
      </c>
      <c r="I26" s="148">
        <v>4</v>
      </c>
      <c r="J26" s="148">
        <v>3</v>
      </c>
      <c r="K26" s="148">
        <v>3</v>
      </c>
      <c r="L26" s="148">
        <v>0</v>
      </c>
      <c r="M26" s="155">
        <v>2</v>
      </c>
      <c r="N26" s="155">
        <v>0</v>
      </c>
      <c r="O26" s="148">
        <v>0</v>
      </c>
      <c r="P26" s="148">
        <v>2</v>
      </c>
      <c r="Q26" s="148">
        <v>2</v>
      </c>
      <c r="R26" s="148">
        <v>2</v>
      </c>
      <c r="S26" s="148">
        <v>3</v>
      </c>
      <c r="T26" s="159">
        <v>0</v>
      </c>
      <c r="U26" s="159">
        <v>0</v>
      </c>
      <c r="V26" s="148">
        <v>0</v>
      </c>
      <c r="W26" s="148">
        <v>0</v>
      </c>
      <c r="X26" s="148">
        <v>1</v>
      </c>
      <c r="Y26" s="148">
        <v>1</v>
      </c>
      <c r="Z26" s="148">
        <v>2</v>
      </c>
      <c r="AA26" s="159">
        <v>0</v>
      </c>
      <c r="AB26" s="159">
        <v>0</v>
      </c>
      <c r="AC26" s="148">
        <v>0</v>
      </c>
      <c r="AD26" s="148">
        <v>0</v>
      </c>
      <c r="AE26" s="148">
        <v>0</v>
      </c>
      <c r="AF26" s="148">
        <v>1</v>
      </c>
      <c r="AG26" s="148">
        <v>0</v>
      </c>
      <c r="AH26" s="143">
        <f>SUM(C26:AG26)</f>
        <v>27</v>
      </c>
      <c r="AI26" s="149">
        <f>AH26/$AH$29</f>
        <v>6.1926605504587159E-2</v>
      </c>
      <c r="AJ26" s="143">
        <f>AH26+AH27</f>
        <v>174</v>
      </c>
      <c r="AK26" s="149">
        <f>AJ26/AJ29</f>
        <v>0.41826923076923078</v>
      </c>
    </row>
    <row r="27" spans="2:44">
      <c r="B27" s="14" t="s">
        <v>2</v>
      </c>
      <c r="C27" s="148">
        <v>8</v>
      </c>
      <c r="D27" s="148">
        <v>5</v>
      </c>
      <c r="E27" s="148">
        <v>13</v>
      </c>
      <c r="F27" s="159">
        <v>8</v>
      </c>
      <c r="G27" s="159">
        <v>2</v>
      </c>
      <c r="H27" s="148">
        <v>2</v>
      </c>
      <c r="I27" s="148">
        <v>6</v>
      </c>
      <c r="J27" s="148">
        <v>4</v>
      </c>
      <c r="K27" s="148">
        <v>3</v>
      </c>
      <c r="L27" s="148">
        <v>7</v>
      </c>
      <c r="M27" s="155">
        <v>3</v>
      </c>
      <c r="N27" s="155">
        <v>0</v>
      </c>
      <c r="O27" s="148">
        <v>0</v>
      </c>
      <c r="P27" s="148">
        <v>3</v>
      </c>
      <c r="Q27" s="148">
        <v>10</v>
      </c>
      <c r="R27" s="148">
        <v>5</v>
      </c>
      <c r="S27" s="148">
        <v>7</v>
      </c>
      <c r="T27" s="159">
        <v>4</v>
      </c>
      <c r="U27" s="159">
        <v>1</v>
      </c>
      <c r="V27" s="148">
        <v>7</v>
      </c>
      <c r="W27" s="148">
        <v>10</v>
      </c>
      <c r="X27" s="148">
        <v>6</v>
      </c>
      <c r="Y27" s="148">
        <v>8</v>
      </c>
      <c r="Z27" s="148">
        <v>1</v>
      </c>
      <c r="AA27" s="159">
        <v>1</v>
      </c>
      <c r="AB27" s="159">
        <v>0</v>
      </c>
      <c r="AC27" s="148">
        <v>5</v>
      </c>
      <c r="AD27" s="148">
        <v>2</v>
      </c>
      <c r="AE27" s="148">
        <v>8</v>
      </c>
      <c r="AF27" s="148">
        <v>3</v>
      </c>
      <c r="AG27" s="148">
        <v>5</v>
      </c>
      <c r="AH27" s="143">
        <f>SUM(C27:AG27)</f>
        <v>147</v>
      </c>
      <c r="AI27" s="149">
        <f>AH27/$AH$29</f>
        <v>0.33715596330275227</v>
      </c>
      <c r="AJ27" s="143"/>
    </row>
    <row r="28" spans="2:44">
      <c r="B28" s="14" t="s">
        <v>3</v>
      </c>
      <c r="C28" s="148">
        <v>1</v>
      </c>
      <c r="D28" s="148">
        <v>1</v>
      </c>
      <c r="E28" s="148">
        <v>3</v>
      </c>
      <c r="F28" s="159">
        <v>0</v>
      </c>
      <c r="G28" s="159">
        <v>0</v>
      </c>
      <c r="H28" s="148">
        <v>0</v>
      </c>
      <c r="I28" s="148">
        <v>0</v>
      </c>
      <c r="J28" s="148">
        <v>0</v>
      </c>
      <c r="K28" s="148">
        <v>1</v>
      </c>
      <c r="L28" s="148">
        <v>1</v>
      </c>
      <c r="M28" s="155">
        <v>0</v>
      </c>
      <c r="N28" s="155">
        <v>0</v>
      </c>
      <c r="O28" s="148">
        <v>0</v>
      </c>
      <c r="P28" s="148">
        <v>2</v>
      </c>
      <c r="Q28" s="148">
        <v>0</v>
      </c>
      <c r="R28" s="148">
        <v>1</v>
      </c>
      <c r="S28" s="148">
        <v>0</v>
      </c>
      <c r="T28" s="159">
        <v>0</v>
      </c>
      <c r="U28" s="159">
        <v>0</v>
      </c>
      <c r="V28" s="148">
        <v>1</v>
      </c>
      <c r="W28" s="148">
        <v>0</v>
      </c>
      <c r="X28" s="148">
        <v>0</v>
      </c>
      <c r="Y28" s="148">
        <v>2</v>
      </c>
      <c r="Z28" s="148">
        <v>3</v>
      </c>
      <c r="AA28" s="159">
        <v>0</v>
      </c>
      <c r="AB28" s="159">
        <v>0</v>
      </c>
      <c r="AC28" s="148">
        <v>1</v>
      </c>
      <c r="AD28" s="148">
        <v>1</v>
      </c>
      <c r="AE28" s="148">
        <v>0</v>
      </c>
      <c r="AF28" s="148">
        <v>1</v>
      </c>
      <c r="AG28" s="148">
        <v>1</v>
      </c>
      <c r="AH28" s="143">
        <f>SUM(C28:AG28)</f>
        <v>20</v>
      </c>
      <c r="AI28" s="149">
        <f>AH28/$AH$29</f>
        <v>4.5871559633027525E-2</v>
      </c>
      <c r="AJ28" s="143"/>
    </row>
    <row r="29" spans="2:44">
      <c r="B29" s="176"/>
      <c r="C29" s="143">
        <f t="shared" ref="C29:Z29" si="8">SUM(C25:C28)</f>
        <v>19</v>
      </c>
      <c r="D29" s="143">
        <f t="shared" si="8"/>
        <v>19</v>
      </c>
      <c r="E29" s="143">
        <f t="shared" si="8"/>
        <v>19</v>
      </c>
      <c r="F29" s="158">
        <f t="shared" si="8"/>
        <v>14</v>
      </c>
      <c r="G29" s="158">
        <f t="shared" si="8"/>
        <v>7</v>
      </c>
      <c r="H29" s="143">
        <f t="shared" si="8"/>
        <v>14</v>
      </c>
      <c r="I29" s="143">
        <f t="shared" si="8"/>
        <v>17</v>
      </c>
      <c r="J29" s="143">
        <f t="shared" si="8"/>
        <v>18</v>
      </c>
      <c r="K29" s="143">
        <f t="shared" si="8"/>
        <v>15</v>
      </c>
      <c r="L29" s="143">
        <f t="shared" si="8"/>
        <v>13</v>
      </c>
      <c r="M29" s="158">
        <f t="shared" si="8"/>
        <v>10</v>
      </c>
      <c r="N29" s="158">
        <f t="shared" si="8"/>
        <v>4</v>
      </c>
      <c r="O29" s="143">
        <f t="shared" si="8"/>
        <v>0</v>
      </c>
      <c r="P29" s="143">
        <f t="shared" si="8"/>
        <v>20</v>
      </c>
      <c r="Q29" s="143">
        <f t="shared" si="8"/>
        <v>20</v>
      </c>
      <c r="R29" s="143">
        <f t="shared" si="8"/>
        <v>18</v>
      </c>
      <c r="S29" s="143">
        <f t="shared" si="8"/>
        <v>19</v>
      </c>
      <c r="T29" s="158">
        <f t="shared" si="8"/>
        <v>19</v>
      </c>
      <c r="U29" s="159">
        <f t="shared" si="8"/>
        <v>3</v>
      </c>
      <c r="V29" s="143">
        <f t="shared" si="8"/>
        <v>13</v>
      </c>
      <c r="W29" s="143">
        <f t="shared" si="8"/>
        <v>19</v>
      </c>
      <c r="X29" s="143">
        <f t="shared" si="8"/>
        <v>16</v>
      </c>
      <c r="Y29" s="143">
        <f t="shared" si="8"/>
        <v>22</v>
      </c>
      <c r="Z29" s="143">
        <f t="shared" si="8"/>
        <v>14</v>
      </c>
      <c r="AA29" s="158">
        <f>SUM(AA25:AA28)</f>
        <v>12</v>
      </c>
      <c r="AB29" s="159">
        <v>0</v>
      </c>
      <c r="AC29" s="143">
        <f t="shared" ref="AC29:AJ29" si="9">SUM(AC25:AC28)</f>
        <v>15</v>
      </c>
      <c r="AD29" s="143">
        <f t="shared" si="9"/>
        <v>11</v>
      </c>
      <c r="AE29" s="143">
        <f t="shared" si="9"/>
        <v>17</v>
      </c>
      <c r="AF29" s="143">
        <f t="shared" si="9"/>
        <v>15</v>
      </c>
      <c r="AG29" s="143">
        <f t="shared" si="9"/>
        <v>14</v>
      </c>
      <c r="AH29" s="143">
        <f t="shared" si="9"/>
        <v>436</v>
      </c>
      <c r="AI29" s="153">
        <f t="shared" si="9"/>
        <v>1</v>
      </c>
      <c r="AJ29" s="143">
        <f t="shared" si="9"/>
        <v>416</v>
      </c>
    </row>
    <row r="30" spans="2:44">
      <c r="C30" s="143"/>
      <c r="D30" s="143"/>
      <c r="E30" s="143"/>
      <c r="F30" s="158"/>
      <c r="G30" s="158"/>
      <c r="H30" s="143"/>
      <c r="I30" s="143"/>
      <c r="J30" s="143"/>
      <c r="K30" s="143"/>
      <c r="L30" s="143"/>
      <c r="M30" s="158"/>
      <c r="N30" s="158"/>
      <c r="O30" s="143"/>
      <c r="P30" s="143"/>
      <c r="Q30" s="143"/>
      <c r="R30" s="143"/>
      <c r="S30" s="143"/>
      <c r="T30" s="158"/>
      <c r="U30" s="158"/>
      <c r="V30" s="143"/>
      <c r="AA30" s="157"/>
      <c r="AB30" s="159"/>
      <c r="AH30" s="143"/>
      <c r="AI30" s="153"/>
      <c r="AJ30" s="143"/>
    </row>
    <row r="31" spans="2:44" ht="43.8" customHeight="1">
      <c r="B31" s="14"/>
      <c r="C31" s="143"/>
      <c r="D31" s="143"/>
      <c r="E31" s="143"/>
      <c r="F31" s="158"/>
      <c r="G31" s="158"/>
      <c r="H31" s="143"/>
      <c r="I31" s="143"/>
      <c r="J31" s="143"/>
      <c r="K31" s="143"/>
      <c r="L31" s="143"/>
      <c r="M31" s="158"/>
      <c r="N31" s="158"/>
      <c r="O31" s="143"/>
      <c r="P31" s="143"/>
      <c r="Q31" s="143"/>
      <c r="R31" s="143"/>
      <c r="T31" s="157"/>
      <c r="U31" s="157"/>
      <c r="AA31" s="157"/>
      <c r="AB31" s="159"/>
      <c r="AH31" s="147" t="s">
        <v>4</v>
      </c>
      <c r="AI31" s="147" t="s">
        <v>14</v>
      </c>
      <c r="AJ31" s="147" t="s">
        <v>65</v>
      </c>
      <c r="AK31" s="147" t="s">
        <v>14</v>
      </c>
      <c r="AL31" s="171" t="s">
        <v>64</v>
      </c>
      <c r="AM31" s="171" t="s">
        <v>63</v>
      </c>
    </row>
    <row r="32" spans="2:44">
      <c r="B32" s="14" t="s">
        <v>0</v>
      </c>
      <c r="C32" s="142">
        <v>9</v>
      </c>
      <c r="D32" s="148">
        <v>7</v>
      </c>
      <c r="E32" s="142">
        <v>11</v>
      </c>
      <c r="F32" s="159">
        <v>7</v>
      </c>
      <c r="G32" s="157"/>
      <c r="H32" s="148">
        <v>5</v>
      </c>
      <c r="I32" s="148">
        <v>8</v>
      </c>
      <c r="J32" s="148">
        <v>7</v>
      </c>
      <c r="K32" s="148">
        <v>9</v>
      </c>
      <c r="L32" s="148">
        <v>8</v>
      </c>
      <c r="M32" s="155">
        <v>4</v>
      </c>
      <c r="N32" s="159">
        <v>0</v>
      </c>
      <c r="O32" s="148">
        <v>5</v>
      </c>
      <c r="P32" s="148">
        <v>9</v>
      </c>
      <c r="Q32" s="148">
        <v>9</v>
      </c>
      <c r="R32" s="148">
        <v>4</v>
      </c>
      <c r="S32" s="148">
        <v>7</v>
      </c>
      <c r="T32" s="155">
        <v>8</v>
      </c>
      <c r="U32" s="159">
        <v>0</v>
      </c>
      <c r="V32" s="148">
        <v>6</v>
      </c>
      <c r="W32" s="148">
        <v>8</v>
      </c>
      <c r="X32" s="148">
        <v>5</v>
      </c>
      <c r="Y32" s="148">
        <v>5</v>
      </c>
      <c r="Z32" s="148">
        <v>9</v>
      </c>
      <c r="AA32" s="159">
        <v>7</v>
      </c>
      <c r="AB32" s="159">
        <v>0</v>
      </c>
      <c r="AC32" s="148">
        <v>1</v>
      </c>
      <c r="AD32" s="148">
        <v>5</v>
      </c>
      <c r="AE32" s="148">
        <v>8</v>
      </c>
      <c r="AF32" s="148">
        <v>7</v>
      </c>
      <c r="AG32" s="148">
        <v>8</v>
      </c>
      <c r="AH32" s="143">
        <f>SUM(C32:AG32)</f>
        <v>186</v>
      </c>
      <c r="AI32" s="144">
        <f>AH32/$AH$36</f>
        <v>0.42272727272727273</v>
      </c>
      <c r="AJ32" s="143">
        <f>AH32</f>
        <v>186</v>
      </c>
      <c r="AK32" s="149">
        <f>AJ32/AJ36</f>
        <v>0.44819277108433736</v>
      </c>
      <c r="AL32" s="143">
        <f>C69</f>
        <v>20</v>
      </c>
      <c r="AM32" s="171">
        <f>AJ32/AL32</f>
        <v>9.3000000000000007</v>
      </c>
    </row>
    <row r="33" spans="2:39">
      <c r="B33" s="14" t="s">
        <v>1</v>
      </c>
      <c r="C33" s="142">
        <v>0</v>
      </c>
      <c r="D33" s="148">
        <v>1</v>
      </c>
      <c r="E33" s="142">
        <v>1</v>
      </c>
      <c r="F33" s="159">
        <v>1</v>
      </c>
      <c r="G33" s="157"/>
      <c r="H33" s="148">
        <v>1</v>
      </c>
      <c r="I33" s="148">
        <v>3</v>
      </c>
      <c r="J33" s="148">
        <v>2</v>
      </c>
      <c r="K33" s="148">
        <v>3</v>
      </c>
      <c r="L33" s="148">
        <v>3</v>
      </c>
      <c r="M33" s="155">
        <v>1</v>
      </c>
      <c r="N33" s="159">
        <v>0</v>
      </c>
      <c r="O33" s="148">
        <v>2</v>
      </c>
      <c r="P33" s="148">
        <v>6</v>
      </c>
      <c r="Q33" s="148">
        <v>0</v>
      </c>
      <c r="R33" s="148">
        <v>3</v>
      </c>
      <c r="S33" s="148">
        <v>1</v>
      </c>
      <c r="T33" s="155">
        <v>1</v>
      </c>
      <c r="U33" s="159">
        <v>0</v>
      </c>
      <c r="V33" s="148">
        <v>2</v>
      </c>
      <c r="W33" s="148">
        <v>2</v>
      </c>
      <c r="X33" s="148">
        <v>4</v>
      </c>
      <c r="Y33" s="148">
        <v>0</v>
      </c>
      <c r="Z33" s="148">
        <v>3</v>
      </c>
      <c r="AA33" s="159">
        <v>1</v>
      </c>
      <c r="AB33" s="159">
        <v>0</v>
      </c>
      <c r="AC33" s="148">
        <v>3</v>
      </c>
      <c r="AD33" s="148">
        <v>3</v>
      </c>
      <c r="AE33" s="148">
        <v>4</v>
      </c>
      <c r="AF33" s="148">
        <v>1</v>
      </c>
      <c r="AG33" s="148">
        <v>3</v>
      </c>
      <c r="AH33" s="180">
        <f>SUM(C33:AG33)</f>
        <v>55</v>
      </c>
      <c r="AI33" s="144">
        <f>AH33/$AH$36</f>
        <v>0.125</v>
      </c>
      <c r="AJ33" s="143">
        <f>AH33+AH34</f>
        <v>229</v>
      </c>
      <c r="AK33" s="149">
        <f>AJ33/AJ36</f>
        <v>0.5518072289156627</v>
      </c>
    </row>
    <row r="34" spans="2:39">
      <c r="B34" s="14" t="s">
        <v>2</v>
      </c>
      <c r="C34" s="142">
        <v>11</v>
      </c>
      <c r="D34" s="148">
        <v>5</v>
      </c>
      <c r="E34" s="142">
        <v>10</v>
      </c>
      <c r="F34" s="159">
        <v>2</v>
      </c>
      <c r="G34" s="157"/>
      <c r="H34" s="148">
        <v>9</v>
      </c>
      <c r="I34" s="148">
        <v>6</v>
      </c>
      <c r="J34" s="148">
        <v>11</v>
      </c>
      <c r="K34" s="148">
        <v>7</v>
      </c>
      <c r="L34" s="148">
        <v>7</v>
      </c>
      <c r="M34" s="155">
        <v>7</v>
      </c>
      <c r="N34" s="159">
        <v>0</v>
      </c>
      <c r="O34" s="148">
        <v>6</v>
      </c>
      <c r="P34" s="148">
        <v>6</v>
      </c>
      <c r="Q34" s="148">
        <v>3</v>
      </c>
      <c r="R34" s="148">
        <v>3</v>
      </c>
      <c r="S34" s="148">
        <v>5</v>
      </c>
      <c r="T34" s="155">
        <v>4</v>
      </c>
      <c r="U34" s="159">
        <v>0</v>
      </c>
      <c r="V34" s="148">
        <v>5</v>
      </c>
      <c r="W34" s="148">
        <v>6</v>
      </c>
      <c r="X34" s="148">
        <v>3</v>
      </c>
      <c r="Y34" s="148">
        <v>2</v>
      </c>
      <c r="Z34" s="148">
        <v>4</v>
      </c>
      <c r="AA34" s="159">
        <v>5</v>
      </c>
      <c r="AB34" s="159">
        <v>0</v>
      </c>
      <c r="AC34" s="148">
        <v>5</v>
      </c>
      <c r="AD34" s="148">
        <v>9</v>
      </c>
      <c r="AE34" s="148">
        <v>9</v>
      </c>
      <c r="AF34" s="148">
        <v>13</v>
      </c>
      <c r="AG34" s="148">
        <v>11</v>
      </c>
      <c r="AH34" s="143">
        <f>SUM(C34:AG34)</f>
        <v>174</v>
      </c>
      <c r="AI34" s="144">
        <f>AH34/$AH$36</f>
        <v>0.39545454545454545</v>
      </c>
    </row>
    <row r="35" spans="2:39">
      <c r="B35" s="14" t="s">
        <v>3</v>
      </c>
      <c r="C35" s="142">
        <v>1</v>
      </c>
      <c r="D35" s="148">
        <v>2</v>
      </c>
      <c r="E35" s="142">
        <v>1</v>
      </c>
      <c r="F35" s="159">
        <v>0</v>
      </c>
      <c r="G35" s="157"/>
      <c r="H35" s="148">
        <v>0</v>
      </c>
      <c r="I35" s="148">
        <v>0</v>
      </c>
      <c r="J35" s="148">
        <v>3</v>
      </c>
      <c r="K35" s="148">
        <v>1</v>
      </c>
      <c r="L35" s="148">
        <v>2</v>
      </c>
      <c r="M35" s="155">
        <v>0</v>
      </c>
      <c r="N35" s="159">
        <v>0</v>
      </c>
      <c r="O35" s="148">
        <v>0</v>
      </c>
      <c r="P35" s="148">
        <v>1</v>
      </c>
      <c r="Q35" s="148">
        <v>1</v>
      </c>
      <c r="R35" s="148">
        <v>0</v>
      </c>
      <c r="S35" s="148">
        <v>1</v>
      </c>
      <c r="T35" s="155">
        <v>0</v>
      </c>
      <c r="U35" s="159">
        <v>0</v>
      </c>
      <c r="V35" s="148">
        <v>1</v>
      </c>
      <c r="W35" s="148">
        <v>1</v>
      </c>
      <c r="X35" s="148">
        <v>3</v>
      </c>
      <c r="Y35" s="148">
        <v>0</v>
      </c>
      <c r="Z35" s="148">
        <v>0</v>
      </c>
      <c r="AA35" s="159">
        <v>0</v>
      </c>
      <c r="AB35" s="159">
        <v>0</v>
      </c>
      <c r="AC35" s="148">
        <v>1</v>
      </c>
      <c r="AD35" s="148">
        <v>2</v>
      </c>
      <c r="AE35" s="148">
        <v>3</v>
      </c>
      <c r="AF35" s="148">
        <v>1</v>
      </c>
      <c r="AG35" s="148">
        <v>0</v>
      </c>
      <c r="AH35" s="143">
        <f>SUM(C35:AG35)</f>
        <v>25</v>
      </c>
      <c r="AI35" s="144">
        <f>AH35/$AH$36</f>
        <v>5.6818181818181816E-2</v>
      </c>
    </row>
    <row r="36" spans="2:39">
      <c r="C36" s="143">
        <f>SUM(C32:C35)</f>
        <v>21</v>
      </c>
      <c r="D36" s="143">
        <f t="shared" ref="D36:X36" si="10">SUM(D32:D35)</f>
        <v>15</v>
      </c>
      <c r="E36" s="143">
        <f t="shared" si="10"/>
        <v>23</v>
      </c>
      <c r="F36" s="158">
        <f t="shared" si="10"/>
        <v>10</v>
      </c>
      <c r="G36" s="158">
        <f t="shared" si="10"/>
        <v>0</v>
      </c>
      <c r="H36" s="143">
        <f t="shared" si="10"/>
        <v>15</v>
      </c>
      <c r="I36" s="143">
        <f t="shared" si="10"/>
        <v>17</v>
      </c>
      <c r="J36" s="143">
        <f t="shared" si="10"/>
        <v>23</v>
      </c>
      <c r="K36" s="143">
        <f t="shared" si="10"/>
        <v>20</v>
      </c>
      <c r="L36" s="143">
        <f t="shared" si="10"/>
        <v>20</v>
      </c>
      <c r="M36" s="158">
        <f t="shared" si="10"/>
        <v>12</v>
      </c>
      <c r="N36" s="158">
        <f t="shared" si="10"/>
        <v>0</v>
      </c>
      <c r="O36" s="143">
        <f t="shared" si="10"/>
        <v>13</v>
      </c>
      <c r="P36" s="143">
        <f t="shared" si="10"/>
        <v>22</v>
      </c>
      <c r="Q36" s="143">
        <f t="shared" si="10"/>
        <v>13</v>
      </c>
      <c r="R36" s="143">
        <f t="shared" si="10"/>
        <v>10</v>
      </c>
      <c r="S36" s="143">
        <f t="shared" si="10"/>
        <v>14</v>
      </c>
      <c r="T36" s="158">
        <f t="shared" si="10"/>
        <v>13</v>
      </c>
      <c r="U36" s="158">
        <f t="shared" si="10"/>
        <v>0</v>
      </c>
      <c r="V36" s="143">
        <f t="shared" si="10"/>
        <v>14</v>
      </c>
      <c r="W36" s="143">
        <f t="shared" si="10"/>
        <v>17</v>
      </c>
      <c r="X36" s="143">
        <f t="shared" si="10"/>
        <v>15</v>
      </c>
      <c r="Y36" s="143">
        <f>SUM(Y32:Y35)</f>
        <v>7</v>
      </c>
      <c r="Z36" s="143">
        <f>SUM(Z32:Z35)</f>
        <v>16</v>
      </c>
      <c r="AA36" s="158">
        <f>SUM(AA32:AA35)</f>
        <v>13</v>
      </c>
      <c r="AB36" s="158">
        <v>0</v>
      </c>
      <c r="AC36" s="143">
        <f t="shared" ref="AC36:AH36" si="11">SUM(AC32:AC35)</f>
        <v>10</v>
      </c>
      <c r="AD36" s="143">
        <f t="shared" si="11"/>
        <v>19</v>
      </c>
      <c r="AE36" s="143">
        <f t="shared" si="11"/>
        <v>24</v>
      </c>
      <c r="AF36" s="143">
        <f t="shared" si="11"/>
        <v>22</v>
      </c>
      <c r="AG36" s="143">
        <f t="shared" si="11"/>
        <v>22</v>
      </c>
      <c r="AH36" s="143">
        <f t="shared" si="11"/>
        <v>440</v>
      </c>
      <c r="AI36" s="144">
        <f>AH36/$AH$36</f>
        <v>1</v>
      </c>
      <c r="AJ36" s="143">
        <f>SUM(AJ32:AJ35)</f>
        <v>415</v>
      </c>
    </row>
    <row r="37" spans="2:39">
      <c r="C37" s="143"/>
      <c r="D37" s="143"/>
      <c r="E37" s="143"/>
      <c r="F37" s="158"/>
      <c r="G37" s="158"/>
      <c r="H37" s="143"/>
      <c r="I37" s="143"/>
      <c r="J37" s="143"/>
      <c r="K37" s="143"/>
      <c r="L37" s="143"/>
      <c r="M37" s="158"/>
      <c r="N37" s="158"/>
      <c r="O37" s="143"/>
      <c r="P37" s="143"/>
      <c r="Q37" s="143"/>
      <c r="R37" s="143"/>
      <c r="S37" s="143"/>
      <c r="T37" s="158"/>
      <c r="U37" s="158"/>
      <c r="V37" s="143"/>
      <c r="W37" s="143"/>
      <c r="X37" s="143"/>
      <c r="Y37" s="143"/>
      <c r="Z37" s="143"/>
      <c r="AA37" s="158"/>
      <c r="AB37" s="158"/>
      <c r="AC37" s="143"/>
      <c r="AD37" s="143"/>
      <c r="AE37" s="143"/>
      <c r="AF37" s="143"/>
      <c r="AG37" s="143"/>
      <c r="AH37" s="143"/>
      <c r="AI37" s="144"/>
      <c r="AJ37" s="143"/>
    </row>
    <row r="38" spans="2:39" ht="46.8" customHeight="1">
      <c r="B38" s="14"/>
      <c r="C38" s="143"/>
      <c r="D38" s="143"/>
      <c r="E38" s="143"/>
      <c r="F38" s="158"/>
      <c r="G38" s="158"/>
      <c r="H38" s="143"/>
      <c r="I38" s="143"/>
      <c r="J38" s="143"/>
      <c r="K38" s="143"/>
      <c r="L38" s="143"/>
      <c r="M38" s="158"/>
      <c r="N38" s="158"/>
      <c r="O38" s="143"/>
      <c r="P38" s="143"/>
      <c r="Q38" s="143"/>
      <c r="R38" s="143"/>
      <c r="T38" s="157"/>
      <c r="U38" s="157"/>
      <c r="AA38" s="157"/>
      <c r="AB38" s="159"/>
      <c r="AH38" s="147" t="s">
        <v>4</v>
      </c>
      <c r="AI38" s="147" t="s">
        <v>14</v>
      </c>
      <c r="AJ38" s="147" t="s">
        <v>65</v>
      </c>
      <c r="AK38" s="147" t="s">
        <v>14</v>
      </c>
      <c r="AL38" s="171" t="s">
        <v>64</v>
      </c>
      <c r="AM38" s="171" t="s">
        <v>63</v>
      </c>
    </row>
    <row r="39" spans="2:39">
      <c r="B39" s="14" t="s">
        <v>0</v>
      </c>
      <c r="C39" s="142">
        <v>1</v>
      </c>
      <c r="D39" s="148">
        <v>3</v>
      </c>
      <c r="E39" s="142">
        <v>0</v>
      </c>
      <c r="F39" s="159">
        <v>0</v>
      </c>
      <c r="G39" s="159">
        <v>0</v>
      </c>
      <c r="H39" s="148">
        <v>3</v>
      </c>
      <c r="I39" s="148">
        <v>1</v>
      </c>
      <c r="J39" s="148">
        <v>1</v>
      </c>
      <c r="K39" s="148">
        <v>3</v>
      </c>
      <c r="L39" s="148">
        <v>0</v>
      </c>
      <c r="M39" s="155">
        <v>2</v>
      </c>
      <c r="N39" s="159">
        <v>0</v>
      </c>
      <c r="O39" s="148">
        <v>1</v>
      </c>
      <c r="P39" s="148">
        <v>0</v>
      </c>
      <c r="Q39" s="148">
        <v>2</v>
      </c>
      <c r="R39" s="148">
        <v>1</v>
      </c>
      <c r="S39" s="148">
        <v>3</v>
      </c>
      <c r="T39" s="155">
        <v>0</v>
      </c>
      <c r="U39" s="159">
        <v>0</v>
      </c>
      <c r="V39" s="148">
        <v>3</v>
      </c>
      <c r="W39" s="148">
        <v>3</v>
      </c>
      <c r="X39" s="148">
        <v>2</v>
      </c>
      <c r="Y39" s="142">
        <v>0</v>
      </c>
      <c r="Z39" s="148">
        <v>1</v>
      </c>
      <c r="AA39" s="159">
        <v>3</v>
      </c>
      <c r="AB39" s="159">
        <v>0</v>
      </c>
      <c r="AC39" s="142">
        <v>1</v>
      </c>
      <c r="AD39" s="142">
        <v>1</v>
      </c>
      <c r="AE39" s="142">
        <v>0</v>
      </c>
      <c r="AF39" s="142">
        <v>2</v>
      </c>
      <c r="AG39" s="142">
        <v>0</v>
      </c>
      <c r="AH39" s="143">
        <f>SUM(C39:AG39)</f>
        <v>37</v>
      </c>
      <c r="AI39" s="144">
        <f>AH39/$AH$36</f>
        <v>8.4090909090909091E-2</v>
      </c>
      <c r="AJ39" s="143">
        <f>AH39</f>
        <v>37</v>
      </c>
      <c r="AK39" s="149">
        <f>AJ39/AJ43</f>
        <v>0.31623931623931623</v>
      </c>
      <c r="AL39" s="143">
        <v>3</v>
      </c>
      <c r="AM39" s="171">
        <f>AJ39/AL39</f>
        <v>12.333333333333334</v>
      </c>
    </row>
    <row r="40" spans="2:39">
      <c r="B40" s="14" t="s">
        <v>1</v>
      </c>
      <c r="C40" s="142">
        <v>0</v>
      </c>
      <c r="D40" s="148">
        <v>0</v>
      </c>
      <c r="E40" s="142">
        <v>0</v>
      </c>
      <c r="F40" s="159">
        <v>0</v>
      </c>
      <c r="G40" s="159">
        <v>0</v>
      </c>
      <c r="H40" s="148">
        <v>0</v>
      </c>
      <c r="I40" s="148">
        <v>0</v>
      </c>
      <c r="J40" s="148">
        <v>0</v>
      </c>
      <c r="K40" s="148">
        <v>0</v>
      </c>
      <c r="L40" s="148">
        <v>0</v>
      </c>
      <c r="M40" s="155">
        <v>2</v>
      </c>
      <c r="N40" s="159">
        <v>0</v>
      </c>
      <c r="O40" s="148">
        <v>1</v>
      </c>
      <c r="P40" s="148">
        <v>0</v>
      </c>
      <c r="Q40" s="148">
        <v>1</v>
      </c>
      <c r="R40" s="148">
        <v>0</v>
      </c>
      <c r="S40" s="148">
        <v>1</v>
      </c>
      <c r="T40" s="155">
        <v>0</v>
      </c>
      <c r="U40" s="159">
        <v>0</v>
      </c>
      <c r="V40" s="148">
        <v>0</v>
      </c>
      <c r="W40" s="148">
        <v>0</v>
      </c>
      <c r="X40" s="148">
        <v>2</v>
      </c>
      <c r="Y40" s="142">
        <v>2</v>
      </c>
      <c r="Z40" s="148">
        <v>0</v>
      </c>
      <c r="AA40" s="159">
        <v>0</v>
      </c>
      <c r="AB40" s="159">
        <v>0</v>
      </c>
      <c r="AC40" s="142">
        <v>1</v>
      </c>
      <c r="AD40" s="142">
        <v>1</v>
      </c>
      <c r="AE40" s="142">
        <v>1</v>
      </c>
      <c r="AF40" s="142">
        <v>1</v>
      </c>
      <c r="AG40" s="142">
        <v>3</v>
      </c>
      <c r="AH40" s="143">
        <f>SUM(C40:AG40)</f>
        <v>16</v>
      </c>
      <c r="AI40" s="144">
        <f>AH40/$AH$36</f>
        <v>3.6363636363636362E-2</v>
      </c>
      <c r="AJ40" s="143">
        <f>AH40+AH41</f>
        <v>80</v>
      </c>
      <c r="AK40" s="149">
        <f>AJ40/AJ43</f>
        <v>0.68376068376068377</v>
      </c>
    </row>
    <row r="41" spans="2:39">
      <c r="B41" s="14" t="s">
        <v>2</v>
      </c>
      <c r="C41" s="142">
        <v>2</v>
      </c>
      <c r="D41" s="148">
        <v>3</v>
      </c>
      <c r="E41" s="142">
        <v>2</v>
      </c>
      <c r="F41" s="159">
        <v>0</v>
      </c>
      <c r="G41" s="159">
        <v>0</v>
      </c>
      <c r="H41" s="148">
        <v>3</v>
      </c>
      <c r="I41" s="148">
        <v>5</v>
      </c>
      <c r="J41" s="148">
        <v>3</v>
      </c>
      <c r="K41" s="148">
        <v>2</v>
      </c>
      <c r="L41" s="148">
        <v>8</v>
      </c>
      <c r="M41" s="155">
        <v>5</v>
      </c>
      <c r="N41" s="159">
        <v>0</v>
      </c>
      <c r="O41" s="148">
        <v>0</v>
      </c>
      <c r="P41" s="148">
        <v>8</v>
      </c>
      <c r="Q41" s="148">
        <v>3</v>
      </c>
      <c r="R41" s="148">
        <v>3</v>
      </c>
      <c r="S41" s="148">
        <v>1</v>
      </c>
      <c r="T41" s="155">
        <v>0</v>
      </c>
      <c r="U41" s="159">
        <v>0</v>
      </c>
      <c r="V41" s="148">
        <v>0</v>
      </c>
      <c r="W41" s="148">
        <v>0</v>
      </c>
      <c r="X41" s="148">
        <v>1</v>
      </c>
      <c r="Y41" s="142">
        <v>2</v>
      </c>
      <c r="Z41" s="148">
        <v>1</v>
      </c>
      <c r="AA41" s="159">
        <v>0</v>
      </c>
      <c r="AB41" s="159">
        <v>0</v>
      </c>
      <c r="AC41" s="142">
        <v>2</v>
      </c>
      <c r="AD41" s="142">
        <v>2</v>
      </c>
      <c r="AE41" s="142">
        <v>3</v>
      </c>
      <c r="AF41" s="142">
        <v>4</v>
      </c>
      <c r="AG41" s="142">
        <v>1</v>
      </c>
      <c r="AH41" s="143">
        <f>SUM(C41:AG41)</f>
        <v>64</v>
      </c>
      <c r="AI41" s="144">
        <f>AH41/$AH$36</f>
        <v>0.14545454545454545</v>
      </c>
    </row>
    <row r="42" spans="2:39">
      <c r="B42" s="14" t="s">
        <v>3</v>
      </c>
      <c r="C42" s="142">
        <v>0</v>
      </c>
      <c r="D42" s="148">
        <v>0</v>
      </c>
      <c r="E42" s="142">
        <v>0</v>
      </c>
      <c r="F42" s="159">
        <v>0</v>
      </c>
      <c r="G42" s="159">
        <v>0</v>
      </c>
      <c r="H42" s="148">
        <v>1</v>
      </c>
      <c r="I42" s="148">
        <v>0</v>
      </c>
      <c r="J42" s="148">
        <v>0</v>
      </c>
      <c r="K42" s="148">
        <v>0</v>
      </c>
      <c r="L42" s="148">
        <v>0</v>
      </c>
      <c r="M42" s="155">
        <v>0</v>
      </c>
      <c r="N42" s="159">
        <v>0</v>
      </c>
      <c r="O42" s="148">
        <v>0</v>
      </c>
      <c r="P42" s="148">
        <v>1</v>
      </c>
      <c r="Q42" s="148">
        <v>0</v>
      </c>
      <c r="R42" s="148">
        <v>0</v>
      </c>
      <c r="S42" s="148">
        <v>0</v>
      </c>
      <c r="T42" s="155">
        <v>0</v>
      </c>
      <c r="U42" s="159">
        <v>0</v>
      </c>
      <c r="V42" s="148">
        <v>0</v>
      </c>
      <c r="W42" s="148">
        <v>0</v>
      </c>
      <c r="X42" s="148">
        <v>0</v>
      </c>
      <c r="Y42" s="142">
        <v>1</v>
      </c>
      <c r="Z42" s="148">
        <v>1</v>
      </c>
      <c r="AA42" s="159">
        <v>0</v>
      </c>
      <c r="AB42" s="159">
        <v>0</v>
      </c>
      <c r="AC42" s="142">
        <v>0</v>
      </c>
      <c r="AD42" s="142">
        <v>0</v>
      </c>
      <c r="AE42" s="142">
        <v>0</v>
      </c>
      <c r="AF42" s="142">
        <v>0</v>
      </c>
      <c r="AG42" s="142">
        <v>0</v>
      </c>
      <c r="AH42" s="143">
        <f>SUM(C42:AG42)</f>
        <v>4</v>
      </c>
      <c r="AI42" s="144">
        <f>AH42/$AH$36</f>
        <v>9.0909090909090905E-3</v>
      </c>
    </row>
    <row r="43" spans="2:39">
      <c r="C43" s="143">
        <f>SUM(C39:C42)</f>
        <v>3</v>
      </c>
      <c r="D43" s="143">
        <f t="shared" ref="D43:Z43" si="12">SUM(D39:D42)</f>
        <v>6</v>
      </c>
      <c r="E43" s="143">
        <f t="shared" si="12"/>
        <v>2</v>
      </c>
      <c r="F43" s="158">
        <f t="shared" si="12"/>
        <v>0</v>
      </c>
      <c r="G43" s="158">
        <f t="shared" si="12"/>
        <v>0</v>
      </c>
      <c r="H43" s="143">
        <f t="shared" si="12"/>
        <v>7</v>
      </c>
      <c r="I43" s="143">
        <f t="shared" si="12"/>
        <v>6</v>
      </c>
      <c r="J43" s="143">
        <f t="shared" si="12"/>
        <v>4</v>
      </c>
      <c r="K43" s="143">
        <f t="shared" si="12"/>
        <v>5</v>
      </c>
      <c r="L43" s="143">
        <f t="shared" si="12"/>
        <v>8</v>
      </c>
      <c r="M43" s="158">
        <f t="shared" si="12"/>
        <v>9</v>
      </c>
      <c r="N43" s="158">
        <f t="shared" si="12"/>
        <v>0</v>
      </c>
      <c r="O43" s="143">
        <f t="shared" si="12"/>
        <v>2</v>
      </c>
      <c r="P43" s="143">
        <f t="shared" si="12"/>
        <v>9</v>
      </c>
      <c r="Q43" s="143">
        <f t="shared" si="12"/>
        <v>6</v>
      </c>
      <c r="R43" s="143">
        <f t="shared" si="12"/>
        <v>4</v>
      </c>
      <c r="S43" s="143">
        <f t="shared" si="12"/>
        <v>5</v>
      </c>
      <c r="T43" s="158">
        <f t="shared" si="12"/>
        <v>0</v>
      </c>
      <c r="U43" s="158">
        <f t="shared" si="12"/>
        <v>0</v>
      </c>
      <c r="V43" s="143">
        <f t="shared" si="12"/>
        <v>3</v>
      </c>
      <c r="W43" s="143">
        <f t="shared" si="12"/>
        <v>3</v>
      </c>
      <c r="X43" s="143">
        <f t="shared" si="12"/>
        <v>5</v>
      </c>
      <c r="Y43" s="143">
        <f t="shared" si="12"/>
        <v>5</v>
      </c>
      <c r="Z43" s="143">
        <f t="shared" si="12"/>
        <v>3</v>
      </c>
      <c r="AA43" s="158">
        <f>SUM(AA39:AA42)</f>
        <v>3</v>
      </c>
      <c r="AB43" s="158">
        <v>0</v>
      </c>
      <c r="AC43" s="143">
        <f t="shared" ref="AC43:AH43" si="13">SUM(AC39:AC42)</f>
        <v>4</v>
      </c>
      <c r="AD43" s="143">
        <f t="shared" si="13"/>
        <v>4</v>
      </c>
      <c r="AE43" s="143">
        <f t="shared" si="13"/>
        <v>4</v>
      </c>
      <c r="AF43" s="143">
        <f t="shared" si="13"/>
        <v>7</v>
      </c>
      <c r="AG43" s="143">
        <f t="shared" si="13"/>
        <v>4</v>
      </c>
      <c r="AH43" s="143">
        <f t="shared" si="13"/>
        <v>121</v>
      </c>
      <c r="AI43" s="144">
        <f>AH43/$AH$36</f>
        <v>0.27500000000000002</v>
      </c>
      <c r="AJ43" s="143">
        <f>SUM(AJ39:AJ42)</f>
        <v>117</v>
      </c>
    </row>
    <row r="44" spans="2:39">
      <c r="F44" s="157"/>
      <c r="G44" s="157"/>
      <c r="M44" s="157"/>
      <c r="N44" s="157"/>
      <c r="T44" s="157"/>
      <c r="U44" s="157"/>
      <c r="AA44" s="157"/>
      <c r="AB44" s="157"/>
    </row>
    <row r="45" spans="2:39">
      <c r="F45" s="157"/>
      <c r="G45" s="157"/>
      <c r="M45" s="157"/>
      <c r="N45" s="157"/>
      <c r="T45" s="157"/>
      <c r="U45" s="157"/>
      <c r="AA45" s="157"/>
      <c r="AB45" s="157"/>
      <c r="AH45" s="172" t="s">
        <v>4</v>
      </c>
      <c r="AI45" s="172" t="s">
        <v>14</v>
      </c>
      <c r="AJ45" s="172" t="s">
        <v>65</v>
      </c>
      <c r="AK45" s="172" t="s">
        <v>14</v>
      </c>
      <c r="AL45" s="173" t="s">
        <v>64</v>
      </c>
      <c r="AM45" s="173" t="s">
        <v>63</v>
      </c>
    </row>
    <row r="46" spans="2:39">
      <c r="B46" s="161" t="s">
        <v>0</v>
      </c>
      <c r="C46" s="162">
        <f t="shared" ref="C46:AC46" si="14">C4+C11+C18+C25+C32</f>
        <v>47</v>
      </c>
      <c r="D46" s="162">
        <f t="shared" si="14"/>
        <v>58</v>
      </c>
      <c r="E46" s="162">
        <f t="shared" si="14"/>
        <v>42</v>
      </c>
      <c r="F46" s="163">
        <f t="shared" si="14"/>
        <v>36</v>
      </c>
      <c r="G46" s="163">
        <f t="shared" si="14"/>
        <v>15</v>
      </c>
      <c r="H46" s="162">
        <f t="shared" si="14"/>
        <v>44</v>
      </c>
      <c r="I46" s="162">
        <f t="shared" si="14"/>
        <v>48</v>
      </c>
      <c r="J46" s="162">
        <f t="shared" si="14"/>
        <v>53</v>
      </c>
      <c r="K46" s="162">
        <f t="shared" si="14"/>
        <v>42</v>
      </c>
      <c r="L46" s="162">
        <f t="shared" si="14"/>
        <v>35</v>
      </c>
      <c r="M46" s="163">
        <f t="shared" si="14"/>
        <v>46</v>
      </c>
      <c r="N46" s="163">
        <f t="shared" si="14"/>
        <v>7</v>
      </c>
      <c r="O46" s="162">
        <f t="shared" si="14"/>
        <v>28</v>
      </c>
      <c r="P46" s="162">
        <f t="shared" si="14"/>
        <v>59</v>
      </c>
      <c r="Q46" s="162">
        <f t="shared" si="14"/>
        <v>54</v>
      </c>
      <c r="R46" s="162">
        <f t="shared" si="14"/>
        <v>45</v>
      </c>
      <c r="S46" s="162">
        <f t="shared" si="14"/>
        <v>43</v>
      </c>
      <c r="T46" s="163">
        <f t="shared" si="14"/>
        <v>60</v>
      </c>
      <c r="U46" s="163">
        <f t="shared" si="14"/>
        <v>13</v>
      </c>
      <c r="V46" s="162">
        <f t="shared" si="14"/>
        <v>36</v>
      </c>
      <c r="W46" s="162">
        <f t="shared" si="14"/>
        <v>54</v>
      </c>
      <c r="X46" s="162">
        <f t="shared" si="14"/>
        <v>51</v>
      </c>
      <c r="Y46" s="162">
        <f t="shared" ref="Y46" si="15">Y4+Y11+Y18+Y25+Y32</f>
        <v>53</v>
      </c>
      <c r="Z46" s="162">
        <f t="shared" si="14"/>
        <v>41</v>
      </c>
      <c r="AA46" s="163">
        <f t="shared" si="14"/>
        <v>64</v>
      </c>
      <c r="AB46" s="163">
        <f t="shared" si="14"/>
        <v>0</v>
      </c>
      <c r="AC46" s="162">
        <f t="shared" si="14"/>
        <v>29</v>
      </c>
      <c r="AD46" s="162">
        <f t="shared" ref="AD46:AF46" si="16">AD4+AD11+AD18+AD25+AD32</f>
        <v>54</v>
      </c>
      <c r="AE46" s="162">
        <f t="shared" si="16"/>
        <v>54</v>
      </c>
      <c r="AF46" s="162">
        <f t="shared" si="16"/>
        <v>47</v>
      </c>
      <c r="AG46" s="162">
        <f t="shared" ref="AG46" si="17">AG4+AG11+AG18+AG25+AG32</f>
        <v>49</v>
      </c>
      <c r="AH46" s="164">
        <f>AH4+AH11+AH18+AH25+AH32+AH39</f>
        <v>1344</v>
      </c>
      <c r="AI46" s="165">
        <f>AH46/$AH$50</f>
        <v>0.54723127035830621</v>
      </c>
      <c r="AJ46" s="164">
        <f>AJ4+AJ11+AJ18+AJ25+AJ32+AJ39</f>
        <v>1344</v>
      </c>
      <c r="AK46" s="165">
        <f>AJ46/AJ50</f>
        <v>0.60786974219810042</v>
      </c>
      <c r="AL46" s="164">
        <v>129</v>
      </c>
      <c r="AM46" s="173">
        <f>AJ46/AL46</f>
        <v>10.418604651162791</v>
      </c>
    </row>
    <row r="47" spans="2:39">
      <c r="B47" s="161" t="s">
        <v>1</v>
      </c>
      <c r="C47" s="162">
        <f t="shared" ref="C47:AC47" si="18">C5+C12+C19+C26+C33</f>
        <v>0</v>
      </c>
      <c r="D47" s="162">
        <f t="shared" si="18"/>
        <v>2</v>
      </c>
      <c r="E47" s="162">
        <f t="shared" si="18"/>
        <v>1</v>
      </c>
      <c r="F47" s="163">
        <f t="shared" si="18"/>
        <v>3</v>
      </c>
      <c r="G47" s="163">
        <f t="shared" si="18"/>
        <v>0</v>
      </c>
      <c r="H47" s="162">
        <f t="shared" si="18"/>
        <v>5</v>
      </c>
      <c r="I47" s="162">
        <f t="shared" si="18"/>
        <v>13</v>
      </c>
      <c r="J47" s="162">
        <f t="shared" si="18"/>
        <v>12</v>
      </c>
      <c r="K47" s="162">
        <f t="shared" si="18"/>
        <v>8</v>
      </c>
      <c r="L47" s="162">
        <f t="shared" si="18"/>
        <v>6</v>
      </c>
      <c r="M47" s="163">
        <f t="shared" si="18"/>
        <v>7</v>
      </c>
      <c r="N47" s="163">
        <f t="shared" si="18"/>
        <v>0</v>
      </c>
      <c r="O47" s="162">
        <f t="shared" si="18"/>
        <v>4</v>
      </c>
      <c r="P47" s="162">
        <f t="shared" si="18"/>
        <v>13</v>
      </c>
      <c r="Q47" s="162">
        <f t="shared" si="18"/>
        <v>10</v>
      </c>
      <c r="R47" s="162">
        <f t="shared" si="18"/>
        <v>13</v>
      </c>
      <c r="S47" s="162">
        <f t="shared" si="18"/>
        <v>11</v>
      </c>
      <c r="T47" s="163">
        <f t="shared" si="18"/>
        <v>1</v>
      </c>
      <c r="U47" s="163">
        <f t="shared" si="18"/>
        <v>0</v>
      </c>
      <c r="V47" s="162">
        <f t="shared" si="18"/>
        <v>5</v>
      </c>
      <c r="W47" s="162">
        <f t="shared" si="18"/>
        <v>5</v>
      </c>
      <c r="X47" s="162">
        <f t="shared" si="18"/>
        <v>9</v>
      </c>
      <c r="Y47" s="162">
        <f t="shared" ref="Y47" si="19">Y5+Y12+Y19+Y26+Y33</f>
        <v>3</v>
      </c>
      <c r="Z47" s="162">
        <f t="shared" si="18"/>
        <v>6</v>
      </c>
      <c r="AA47" s="163">
        <f t="shared" si="18"/>
        <v>1</v>
      </c>
      <c r="AB47" s="163">
        <f t="shared" si="18"/>
        <v>0</v>
      </c>
      <c r="AC47" s="162">
        <f t="shared" si="18"/>
        <v>5</v>
      </c>
      <c r="AD47" s="162">
        <f t="shared" ref="AD47:AF47" si="20">AD5+AD12+AD19+AD26+AD33</f>
        <v>7</v>
      </c>
      <c r="AE47" s="162">
        <f t="shared" si="20"/>
        <v>9</v>
      </c>
      <c r="AF47" s="162">
        <f t="shared" si="20"/>
        <v>5</v>
      </c>
      <c r="AG47" s="162">
        <f t="shared" ref="AG47" si="21">AG5+AG12+AG19+AG26+AG33</f>
        <v>7</v>
      </c>
      <c r="AH47" s="164">
        <f t="shared" ref="AH47:AH49" si="22">AH5+AH12+AH19+AH26+AH33+AH40</f>
        <v>187</v>
      </c>
      <c r="AI47" s="165">
        <f>AH47/$AH$50</f>
        <v>7.6140065146579811E-2</v>
      </c>
      <c r="AJ47" s="164">
        <f>AJ5+AJ12+AJ19+AJ26+AJ33+AJ40</f>
        <v>984</v>
      </c>
      <c r="AK47" s="165">
        <f>AJ47/AJ50</f>
        <v>0.4450474898236092</v>
      </c>
    </row>
    <row r="48" spans="2:39">
      <c r="B48" s="161" t="s">
        <v>2</v>
      </c>
      <c r="C48" s="162">
        <f t="shared" ref="C48:AC48" si="23">C6+C13+C20+C27+C34</f>
        <v>48</v>
      </c>
      <c r="D48" s="162">
        <f t="shared" si="23"/>
        <v>29</v>
      </c>
      <c r="E48" s="162">
        <f t="shared" si="23"/>
        <v>45</v>
      </c>
      <c r="F48" s="163">
        <f t="shared" si="23"/>
        <v>23</v>
      </c>
      <c r="G48" s="163">
        <f t="shared" si="23"/>
        <v>6</v>
      </c>
      <c r="H48" s="162">
        <f t="shared" si="23"/>
        <v>33</v>
      </c>
      <c r="I48" s="162">
        <f t="shared" si="23"/>
        <v>32</v>
      </c>
      <c r="J48" s="162">
        <f t="shared" si="23"/>
        <v>32</v>
      </c>
      <c r="K48" s="162">
        <f t="shared" si="23"/>
        <v>25</v>
      </c>
      <c r="L48" s="162">
        <f t="shared" si="23"/>
        <v>29</v>
      </c>
      <c r="M48" s="163">
        <f t="shared" si="23"/>
        <v>16</v>
      </c>
      <c r="N48" s="163">
        <f t="shared" si="23"/>
        <v>0</v>
      </c>
      <c r="O48" s="162">
        <f t="shared" si="23"/>
        <v>20</v>
      </c>
      <c r="P48" s="162">
        <f t="shared" si="23"/>
        <v>24</v>
      </c>
      <c r="Q48" s="162">
        <f t="shared" si="23"/>
        <v>33</v>
      </c>
      <c r="R48" s="162">
        <f t="shared" si="23"/>
        <v>20</v>
      </c>
      <c r="S48" s="162">
        <f t="shared" si="23"/>
        <v>28</v>
      </c>
      <c r="T48" s="163">
        <f t="shared" si="23"/>
        <v>19</v>
      </c>
      <c r="U48" s="163">
        <f t="shared" si="23"/>
        <v>2</v>
      </c>
      <c r="V48" s="162">
        <f t="shared" si="23"/>
        <v>23</v>
      </c>
      <c r="W48" s="162">
        <f t="shared" si="23"/>
        <v>35</v>
      </c>
      <c r="X48" s="162">
        <f t="shared" si="23"/>
        <v>22</v>
      </c>
      <c r="Y48" s="162">
        <f t="shared" ref="Y48" si="24">Y6+Y13+Y20+Y27+Y34</f>
        <v>24</v>
      </c>
      <c r="Z48" s="162">
        <f t="shared" si="23"/>
        <v>15</v>
      </c>
      <c r="AA48" s="163">
        <f t="shared" si="23"/>
        <v>11</v>
      </c>
      <c r="AB48" s="163">
        <f t="shared" si="23"/>
        <v>0</v>
      </c>
      <c r="AC48" s="162">
        <f t="shared" si="23"/>
        <v>24</v>
      </c>
      <c r="AD48" s="162">
        <f t="shared" ref="AD48:AF48" si="25">AD6+AD13+AD20+AD27+AD34</f>
        <v>22</v>
      </c>
      <c r="AE48" s="162">
        <f t="shared" si="25"/>
        <v>27</v>
      </c>
      <c r="AF48" s="162">
        <f t="shared" si="25"/>
        <v>26</v>
      </c>
      <c r="AG48" s="162">
        <f t="shared" ref="AG48" si="26">AG6+AG13+AG20+AG27+AG34</f>
        <v>40</v>
      </c>
      <c r="AH48" s="164">
        <f t="shared" si="22"/>
        <v>797</v>
      </c>
      <c r="AI48" s="165">
        <f>AH48/$AH$50</f>
        <v>0.32451140065146578</v>
      </c>
      <c r="AJ48" s="164">
        <f>AJ6+AJ13+AJ20+AJ27+AJ34</f>
        <v>0</v>
      </c>
      <c r="AK48" s="162"/>
    </row>
    <row r="49" spans="2:37">
      <c r="B49" s="161" t="s">
        <v>3</v>
      </c>
      <c r="C49" s="162">
        <f t="shared" ref="C49:AC49" si="27">C7+C14+C21+C28+C35</f>
        <v>3</v>
      </c>
      <c r="D49" s="162">
        <f t="shared" si="27"/>
        <v>4</v>
      </c>
      <c r="E49" s="162">
        <f t="shared" si="27"/>
        <v>8</v>
      </c>
      <c r="F49" s="163">
        <f t="shared" si="27"/>
        <v>1</v>
      </c>
      <c r="G49" s="163">
        <f t="shared" si="27"/>
        <v>0</v>
      </c>
      <c r="H49" s="162">
        <f t="shared" si="27"/>
        <v>4</v>
      </c>
      <c r="I49" s="162">
        <f t="shared" si="27"/>
        <v>7</v>
      </c>
      <c r="J49" s="162">
        <f t="shared" si="27"/>
        <v>9</v>
      </c>
      <c r="K49" s="162">
        <f t="shared" si="27"/>
        <v>2</v>
      </c>
      <c r="L49" s="162">
        <f t="shared" si="27"/>
        <v>7</v>
      </c>
      <c r="M49" s="163">
        <f t="shared" si="27"/>
        <v>1</v>
      </c>
      <c r="N49" s="163">
        <f t="shared" si="27"/>
        <v>0</v>
      </c>
      <c r="O49" s="162">
        <f t="shared" si="27"/>
        <v>2</v>
      </c>
      <c r="P49" s="162">
        <f t="shared" si="27"/>
        <v>10</v>
      </c>
      <c r="Q49" s="162">
        <f t="shared" si="27"/>
        <v>4</v>
      </c>
      <c r="R49" s="162">
        <f t="shared" si="27"/>
        <v>3</v>
      </c>
      <c r="S49" s="162">
        <f t="shared" si="27"/>
        <v>4</v>
      </c>
      <c r="T49" s="163">
        <f t="shared" si="27"/>
        <v>2</v>
      </c>
      <c r="U49" s="163">
        <f t="shared" si="27"/>
        <v>0</v>
      </c>
      <c r="V49" s="162">
        <f t="shared" si="27"/>
        <v>4</v>
      </c>
      <c r="W49" s="162">
        <f t="shared" si="27"/>
        <v>6</v>
      </c>
      <c r="X49" s="162">
        <f t="shared" si="27"/>
        <v>8</v>
      </c>
      <c r="Y49" s="162">
        <f t="shared" ref="Y49" si="28">Y7+Y14+Y21+Y28+Y35</f>
        <v>4</v>
      </c>
      <c r="Z49" s="162">
        <f t="shared" si="27"/>
        <v>5</v>
      </c>
      <c r="AA49" s="163">
        <f t="shared" si="27"/>
        <v>0</v>
      </c>
      <c r="AB49" s="163">
        <f t="shared" si="27"/>
        <v>0</v>
      </c>
      <c r="AC49" s="162">
        <f t="shared" si="27"/>
        <v>4</v>
      </c>
      <c r="AD49" s="162">
        <f t="shared" ref="AD49:AF49" si="29">AD7+AD14+AD21+AD28+AD35</f>
        <v>4</v>
      </c>
      <c r="AE49" s="162">
        <f t="shared" si="29"/>
        <v>4</v>
      </c>
      <c r="AF49" s="162">
        <f t="shared" si="29"/>
        <v>10</v>
      </c>
      <c r="AG49" s="162">
        <f t="shared" ref="AG49" si="30">AG7+AG14+AG21+AG28+AG35</f>
        <v>4</v>
      </c>
      <c r="AH49" s="164">
        <f t="shared" si="22"/>
        <v>128</v>
      </c>
      <c r="AI49" s="165">
        <f>AH49/$AH$50</f>
        <v>5.2117263843648211E-2</v>
      </c>
      <c r="AJ49" s="164">
        <f>AJ7+AJ14+AJ21+AJ28+AJ35</f>
        <v>0</v>
      </c>
      <c r="AK49" s="162"/>
    </row>
    <row r="50" spans="2:37">
      <c r="B50" s="166"/>
      <c r="C50" s="164">
        <f>'Comparativo Jun x Jul'!B12+C15+C22+C29+C36</f>
        <v>98</v>
      </c>
      <c r="D50" s="164">
        <f>'Comparativo Jun x Jul'!C12+D15+D22+D29+D36</f>
        <v>93</v>
      </c>
      <c r="E50" s="164">
        <f>'Comparativo Jun x Jul'!D12+E15+E22+E29+E36</f>
        <v>96</v>
      </c>
      <c r="F50" s="167">
        <f>'Comparativo Jun x Jul'!E12+F15+F22+F29+F36</f>
        <v>63</v>
      </c>
      <c r="G50" s="167">
        <f>'Comparativo Jun x Jul'!F12+G15+G22+G29+G36</f>
        <v>21</v>
      </c>
      <c r="H50" s="164">
        <f>'Comparativo Jun x Jul'!G12+H15+H22+H29+H36</f>
        <v>86</v>
      </c>
      <c r="I50" s="164">
        <f>'Comparativo Jun x Jul'!H12+I15+I22+I29+I36</f>
        <v>100</v>
      </c>
      <c r="J50" s="164">
        <f>'Comparativo Jun x Jul'!I12+J15+J22+J29+J36</f>
        <v>106</v>
      </c>
      <c r="K50" s="164">
        <f>'Comparativo Jun x Jul'!J12+K15+K22+K29+K36</f>
        <v>77</v>
      </c>
      <c r="L50" s="164">
        <f>'Comparativo Jun x Jul'!K12+L15+L22+L29+L36</f>
        <v>77</v>
      </c>
      <c r="M50" s="167">
        <f>'Comparativo Jun x Jul'!L12+M15+M22+M29+M36</f>
        <v>70</v>
      </c>
      <c r="N50" s="167">
        <f>'Comparativo Jun x Jul'!M12+N15+N22+N29+N36</f>
        <v>7</v>
      </c>
      <c r="O50" s="164">
        <f>'Comparativo Jun x Jul'!N12+O15+O22+O29+O36</f>
        <v>54</v>
      </c>
      <c r="P50" s="164">
        <f>'Comparativo Jun x Jul'!O12+P15+P22+P29+P36</f>
        <v>106</v>
      </c>
      <c r="Q50" s="164">
        <f>'Comparativo Jun x Jul'!P12+Q15+Q22+Q29+Q36</f>
        <v>101</v>
      </c>
      <c r="R50" s="164">
        <f>'Comparativo Jun x Jul'!Q12+R15+R22+R29+R36</f>
        <v>81</v>
      </c>
      <c r="S50" s="164">
        <f>'Comparativo Jun x Jul'!R12+S15+S22+S29+S36</f>
        <v>86</v>
      </c>
      <c r="T50" s="167">
        <f>'Comparativo Jun x Jul'!S12+T15+T22+T29+T36</f>
        <v>513</v>
      </c>
      <c r="U50" s="167">
        <f>'Comparativo Jun x Jul'!T12+U15+U22+U29+U36</f>
        <v>434</v>
      </c>
      <c r="V50" s="164">
        <f>'Comparativo Jun x Jul'!U12+V15+V22+V29+V36</f>
        <v>48</v>
      </c>
      <c r="W50" s="164">
        <f>'Comparativo Jun x Jul'!V12+W15+W22+W29+W36</f>
        <v>63</v>
      </c>
      <c r="X50" s="164">
        <f>'Comparativo Jun x Jul'!W12+X15+X22+X29+X36</f>
        <v>60</v>
      </c>
      <c r="Y50" s="164">
        <f>'Comparativo Jun x Jul'!X12+Y15+Y22+Y29+Y36</f>
        <v>53</v>
      </c>
      <c r="Z50" s="164">
        <f>'Comparativo Jun x Jul'!Y12+Z15+Z22+Z29+Z36</f>
        <v>43</v>
      </c>
      <c r="AA50" s="167">
        <f>'Comparativo Jun x Jul'!Z12+AA15+AA22+AA29+AA36</f>
        <v>47</v>
      </c>
      <c r="AB50" s="167">
        <f>'Comparativo Jun x Jul'!AA12+AB15+AB22+AB29+AB36</f>
        <v>0</v>
      </c>
      <c r="AC50" s="164">
        <f>'Comparativo Jun x Jul'!AB12+AC15+AC22+AC29+AC36</f>
        <v>42</v>
      </c>
      <c r="AD50" s="164">
        <f>'Comparativo Jun x Jul'!AC12+AD15+AD22+AD29+AD36</f>
        <v>53</v>
      </c>
      <c r="AE50" s="164">
        <f>'Comparativo Jun x Jul'!AD12+AE15+AE22+AE29+AE36</f>
        <v>65</v>
      </c>
      <c r="AF50" s="164">
        <f>'Comparativo Jun x Jul'!AE12+AF15+AF22+AF29+AF36</f>
        <v>56</v>
      </c>
      <c r="AG50" s="164">
        <f>'Comparativo Jun x Jul'!AF12+AG15+AG22+AG29+AG36</f>
        <v>66</v>
      </c>
      <c r="AH50" s="164">
        <f>AH8+AH15+AH22+AH29+AH36+AH43</f>
        <v>2456</v>
      </c>
      <c r="AI50" s="168">
        <f>SUM(AI46:AI49)</f>
        <v>1</v>
      </c>
      <c r="AJ50" s="164">
        <f>AJ8+AJ15+AJ22+AJ29+AJ36</f>
        <v>2211</v>
      </c>
      <c r="AK50" s="162"/>
    </row>
    <row r="51" spans="2:37">
      <c r="F51" s="157"/>
      <c r="G51" s="157"/>
      <c r="M51" s="157"/>
      <c r="N51" s="157"/>
      <c r="T51" s="157"/>
      <c r="U51" s="157"/>
      <c r="AA51" s="157"/>
      <c r="AB51" s="157"/>
    </row>
    <row r="52" spans="2:37">
      <c r="C52" s="169">
        <f t="shared" ref="C52:AG52" si="31">C46/$C$50</f>
        <v>0.47959183673469385</v>
      </c>
      <c r="D52" s="169">
        <f t="shared" si="31"/>
        <v>0.59183673469387754</v>
      </c>
      <c r="E52" s="169">
        <f t="shared" si="31"/>
        <v>0.42857142857142855</v>
      </c>
      <c r="F52" s="170">
        <f t="shared" si="31"/>
        <v>0.36734693877551022</v>
      </c>
      <c r="G52" s="170">
        <f t="shared" si="31"/>
        <v>0.15306122448979592</v>
      </c>
      <c r="H52" s="169">
        <f t="shared" si="31"/>
        <v>0.44897959183673469</v>
      </c>
      <c r="I52" s="169">
        <f t="shared" si="31"/>
        <v>0.48979591836734693</v>
      </c>
      <c r="J52" s="169">
        <f t="shared" si="31"/>
        <v>0.54081632653061229</v>
      </c>
      <c r="K52" s="169">
        <f t="shared" si="31"/>
        <v>0.42857142857142855</v>
      </c>
      <c r="L52" s="169">
        <f t="shared" si="31"/>
        <v>0.35714285714285715</v>
      </c>
      <c r="M52" s="170">
        <f t="shared" si="31"/>
        <v>0.46938775510204084</v>
      </c>
      <c r="N52" s="170">
        <f t="shared" si="31"/>
        <v>7.1428571428571425E-2</v>
      </c>
      <c r="O52" s="169">
        <f t="shared" si="31"/>
        <v>0.2857142857142857</v>
      </c>
      <c r="P52" s="169">
        <f t="shared" si="31"/>
        <v>0.60204081632653061</v>
      </c>
      <c r="Q52" s="169">
        <f t="shared" si="31"/>
        <v>0.55102040816326525</v>
      </c>
      <c r="R52" s="169">
        <f t="shared" si="31"/>
        <v>0.45918367346938777</v>
      </c>
      <c r="S52" s="169">
        <f t="shared" si="31"/>
        <v>0.43877551020408162</v>
      </c>
      <c r="T52" s="170">
        <f t="shared" si="31"/>
        <v>0.61224489795918369</v>
      </c>
      <c r="U52" s="170">
        <f t="shared" si="31"/>
        <v>0.1326530612244898</v>
      </c>
      <c r="V52" s="169">
        <f t="shared" si="31"/>
        <v>0.36734693877551022</v>
      </c>
      <c r="W52" s="169">
        <f t="shared" si="31"/>
        <v>0.55102040816326525</v>
      </c>
      <c r="X52" s="169">
        <f t="shared" si="31"/>
        <v>0.52040816326530615</v>
      </c>
      <c r="Y52" s="169">
        <f t="shared" si="31"/>
        <v>0.54081632653061229</v>
      </c>
      <c r="Z52" s="169">
        <f t="shared" si="31"/>
        <v>0.41836734693877553</v>
      </c>
      <c r="AA52" s="170">
        <f t="shared" si="31"/>
        <v>0.65306122448979587</v>
      </c>
      <c r="AB52" s="170">
        <f t="shared" si="31"/>
        <v>0</v>
      </c>
      <c r="AC52" s="169">
        <f t="shared" si="31"/>
        <v>0.29591836734693877</v>
      </c>
      <c r="AD52" s="169">
        <f t="shared" si="31"/>
        <v>0.55102040816326525</v>
      </c>
      <c r="AE52" s="169">
        <f t="shared" si="31"/>
        <v>0.55102040816326525</v>
      </c>
      <c r="AF52" s="169">
        <f t="shared" si="31"/>
        <v>0.47959183673469385</v>
      </c>
      <c r="AG52" s="169">
        <f t="shared" si="31"/>
        <v>0.5</v>
      </c>
      <c r="AH52" s="169">
        <f>AH46/$AH$50</f>
        <v>0.54723127035830621</v>
      </c>
    </row>
    <row r="53" spans="2:37">
      <c r="C53" s="169">
        <f>C47/$C$50</f>
        <v>0</v>
      </c>
      <c r="D53" s="169">
        <f t="shared" ref="D53:R53" si="32">D47/$C$50</f>
        <v>2.0408163265306121E-2</v>
      </c>
      <c r="E53" s="169">
        <f t="shared" si="32"/>
        <v>1.020408163265306E-2</v>
      </c>
      <c r="F53" s="170">
        <f t="shared" si="32"/>
        <v>3.0612244897959183E-2</v>
      </c>
      <c r="G53" s="170">
        <f t="shared" si="32"/>
        <v>0</v>
      </c>
      <c r="H53" s="169">
        <f t="shared" si="32"/>
        <v>5.1020408163265307E-2</v>
      </c>
      <c r="I53" s="169">
        <f t="shared" si="32"/>
        <v>0.1326530612244898</v>
      </c>
      <c r="J53" s="169">
        <f t="shared" si="32"/>
        <v>0.12244897959183673</v>
      </c>
      <c r="K53" s="169">
        <f t="shared" si="32"/>
        <v>8.1632653061224483E-2</v>
      </c>
      <c r="L53" s="169">
        <f t="shared" si="32"/>
        <v>6.1224489795918366E-2</v>
      </c>
      <c r="M53" s="170">
        <f t="shared" si="32"/>
        <v>7.1428571428571425E-2</v>
      </c>
      <c r="N53" s="170">
        <f t="shared" si="32"/>
        <v>0</v>
      </c>
      <c r="O53" s="169">
        <f t="shared" si="32"/>
        <v>4.0816326530612242E-2</v>
      </c>
      <c r="P53" s="169">
        <f t="shared" si="32"/>
        <v>0.1326530612244898</v>
      </c>
      <c r="Q53" s="169">
        <f t="shared" si="32"/>
        <v>0.10204081632653061</v>
      </c>
      <c r="R53" s="169">
        <f t="shared" si="32"/>
        <v>0.1326530612244898</v>
      </c>
      <c r="S53" s="169">
        <f t="shared" ref="S53:AG53" si="33">S47/$C$50</f>
        <v>0.11224489795918367</v>
      </c>
      <c r="T53" s="170">
        <f t="shared" si="33"/>
        <v>1.020408163265306E-2</v>
      </c>
      <c r="U53" s="170">
        <f t="shared" si="33"/>
        <v>0</v>
      </c>
      <c r="V53" s="169">
        <f t="shared" si="33"/>
        <v>5.1020408163265307E-2</v>
      </c>
      <c r="W53" s="169">
        <f t="shared" si="33"/>
        <v>5.1020408163265307E-2</v>
      </c>
      <c r="X53" s="169">
        <f t="shared" si="33"/>
        <v>9.1836734693877556E-2</v>
      </c>
      <c r="Y53" s="169">
        <f t="shared" si="33"/>
        <v>3.0612244897959183E-2</v>
      </c>
      <c r="Z53" s="169">
        <f t="shared" si="33"/>
        <v>6.1224489795918366E-2</v>
      </c>
      <c r="AA53" s="170">
        <f t="shared" si="33"/>
        <v>1.020408163265306E-2</v>
      </c>
      <c r="AB53" s="170">
        <f t="shared" si="33"/>
        <v>0</v>
      </c>
      <c r="AC53" s="169">
        <f t="shared" si="33"/>
        <v>5.1020408163265307E-2</v>
      </c>
      <c r="AD53" s="169">
        <f t="shared" si="33"/>
        <v>7.1428571428571425E-2</v>
      </c>
      <c r="AE53" s="169">
        <f t="shared" si="33"/>
        <v>9.1836734693877556E-2</v>
      </c>
      <c r="AF53" s="169">
        <f t="shared" si="33"/>
        <v>5.1020408163265307E-2</v>
      </c>
      <c r="AG53" s="169">
        <f t="shared" si="33"/>
        <v>7.1428571428571425E-2</v>
      </c>
      <c r="AH53" s="169">
        <f>AH47/$AH$50</f>
        <v>7.6140065146579811E-2</v>
      </c>
    </row>
    <row r="54" spans="2:37">
      <c r="C54" s="169">
        <f>C48/$C$50</f>
        <v>0.48979591836734693</v>
      </c>
      <c r="D54" s="169">
        <f t="shared" ref="D54:R54" si="34">D48/$C$50</f>
        <v>0.29591836734693877</v>
      </c>
      <c r="E54" s="169">
        <f t="shared" si="34"/>
        <v>0.45918367346938777</v>
      </c>
      <c r="F54" s="170">
        <f t="shared" si="34"/>
        <v>0.23469387755102042</v>
      </c>
      <c r="G54" s="170">
        <f t="shared" si="34"/>
        <v>6.1224489795918366E-2</v>
      </c>
      <c r="H54" s="169">
        <f t="shared" si="34"/>
        <v>0.33673469387755101</v>
      </c>
      <c r="I54" s="169">
        <f t="shared" si="34"/>
        <v>0.32653061224489793</v>
      </c>
      <c r="J54" s="169">
        <f t="shared" si="34"/>
        <v>0.32653061224489793</v>
      </c>
      <c r="K54" s="169">
        <f t="shared" si="34"/>
        <v>0.25510204081632654</v>
      </c>
      <c r="L54" s="169">
        <f t="shared" si="34"/>
        <v>0.29591836734693877</v>
      </c>
      <c r="M54" s="170">
        <f t="shared" si="34"/>
        <v>0.16326530612244897</v>
      </c>
      <c r="N54" s="170">
        <f t="shared" si="34"/>
        <v>0</v>
      </c>
      <c r="O54" s="169">
        <f t="shared" si="34"/>
        <v>0.20408163265306123</v>
      </c>
      <c r="P54" s="169">
        <f t="shared" si="34"/>
        <v>0.24489795918367346</v>
      </c>
      <c r="Q54" s="169">
        <f t="shared" si="34"/>
        <v>0.33673469387755101</v>
      </c>
      <c r="R54" s="169">
        <f t="shared" si="34"/>
        <v>0.20408163265306123</v>
      </c>
      <c r="S54" s="169">
        <f t="shared" ref="S54:AG54" si="35">S48/$C$50</f>
        <v>0.2857142857142857</v>
      </c>
      <c r="T54" s="170">
        <f t="shared" si="35"/>
        <v>0.19387755102040816</v>
      </c>
      <c r="U54" s="170">
        <f t="shared" si="35"/>
        <v>2.0408163265306121E-2</v>
      </c>
      <c r="V54" s="169">
        <f t="shared" si="35"/>
        <v>0.23469387755102042</v>
      </c>
      <c r="W54" s="169">
        <f t="shared" si="35"/>
        <v>0.35714285714285715</v>
      </c>
      <c r="X54" s="169">
        <f t="shared" si="35"/>
        <v>0.22448979591836735</v>
      </c>
      <c r="Y54" s="169">
        <f t="shared" si="35"/>
        <v>0.24489795918367346</v>
      </c>
      <c r="Z54" s="169">
        <f t="shared" si="35"/>
        <v>0.15306122448979592</v>
      </c>
      <c r="AA54" s="170">
        <f t="shared" si="35"/>
        <v>0.11224489795918367</v>
      </c>
      <c r="AB54" s="170">
        <f t="shared" si="35"/>
        <v>0</v>
      </c>
      <c r="AC54" s="169">
        <f t="shared" si="35"/>
        <v>0.24489795918367346</v>
      </c>
      <c r="AD54" s="169">
        <f t="shared" si="35"/>
        <v>0.22448979591836735</v>
      </c>
      <c r="AE54" s="169">
        <f t="shared" si="35"/>
        <v>0.27551020408163263</v>
      </c>
      <c r="AF54" s="169">
        <f t="shared" si="35"/>
        <v>0.26530612244897961</v>
      </c>
      <c r="AG54" s="169">
        <f t="shared" si="35"/>
        <v>0.40816326530612246</v>
      </c>
      <c r="AH54" s="169">
        <f>AH48/$AH$50</f>
        <v>0.32451140065146578</v>
      </c>
    </row>
    <row r="55" spans="2:37">
      <c r="C55" s="169">
        <f>C49/$C$50</f>
        <v>3.0612244897959183E-2</v>
      </c>
      <c r="D55" s="169">
        <f t="shared" ref="D55:R55" si="36">D49/$C$50</f>
        <v>4.0816326530612242E-2</v>
      </c>
      <c r="E55" s="169">
        <f t="shared" si="36"/>
        <v>8.1632653061224483E-2</v>
      </c>
      <c r="F55" s="170">
        <f t="shared" si="36"/>
        <v>1.020408163265306E-2</v>
      </c>
      <c r="G55" s="170">
        <f t="shared" si="36"/>
        <v>0</v>
      </c>
      <c r="H55" s="169">
        <f t="shared" si="36"/>
        <v>4.0816326530612242E-2</v>
      </c>
      <c r="I55" s="169">
        <f t="shared" si="36"/>
        <v>7.1428571428571425E-2</v>
      </c>
      <c r="J55" s="169">
        <f t="shared" si="36"/>
        <v>9.1836734693877556E-2</v>
      </c>
      <c r="K55" s="169">
        <f t="shared" si="36"/>
        <v>2.0408163265306121E-2</v>
      </c>
      <c r="L55" s="169">
        <f t="shared" si="36"/>
        <v>7.1428571428571425E-2</v>
      </c>
      <c r="M55" s="170">
        <f t="shared" si="36"/>
        <v>1.020408163265306E-2</v>
      </c>
      <c r="N55" s="170">
        <f t="shared" si="36"/>
        <v>0</v>
      </c>
      <c r="O55" s="169">
        <f t="shared" si="36"/>
        <v>2.0408163265306121E-2</v>
      </c>
      <c r="P55" s="169">
        <f t="shared" si="36"/>
        <v>0.10204081632653061</v>
      </c>
      <c r="Q55" s="169">
        <f t="shared" si="36"/>
        <v>4.0816326530612242E-2</v>
      </c>
      <c r="R55" s="169">
        <f t="shared" si="36"/>
        <v>3.0612244897959183E-2</v>
      </c>
      <c r="S55" s="169">
        <f t="shared" ref="S55:AG55" si="37">S49/$C$50</f>
        <v>4.0816326530612242E-2</v>
      </c>
      <c r="T55" s="170">
        <f t="shared" si="37"/>
        <v>2.0408163265306121E-2</v>
      </c>
      <c r="U55" s="170">
        <f t="shared" si="37"/>
        <v>0</v>
      </c>
      <c r="V55" s="169">
        <f t="shared" si="37"/>
        <v>4.0816326530612242E-2</v>
      </c>
      <c r="W55" s="169">
        <f t="shared" si="37"/>
        <v>6.1224489795918366E-2</v>
      </c>
      <c r="X55" s="169">
        <f t="shared" si="37"/>
        <v>8.1632653061224483E-2</v>
      </c>
      <c r="Y55" s="169">
        <f t="shared" si="37"/>
        <v>4.0816326530612242E-2</v>
      </c>
      <c r="Z55" s="169">
        <f t="shared" si="37"/>
        <v>5.1020408163265307E-2</v>
      </c>
      <c r="AA55" s="170">
        <f t="shared" si="37"/>
        <v>0</v>
      </c>
      <c r="AB55" s="170">
        <f t="shared" si="37"/>
        <v>0</v>
      </c>
      <c r="AC55" s="169">
        <f t="shared" si="37"/>
        <v>4.0816326530612242E-2</v>
      </c>
      <c r="AD55" s="169">
        <f t="shared" si="37"/>
        <v>4.0816326530612242E-2</v>
      </c>
      <c r="AE55" s="169">
        <f t="shared" si="37"/>
        <v>4.0816326530612242E-2</v>
      </c>
      <c r="AF55" s="169">
        <f t="shared" si="37"/>
        <v>0.10204081632653061</v>
      </c>
      <c r="AG55" s="169">
        <f t="shared" si="37"/>
        <v>4.0816326530612242E-2</v>
      </c>
      <c r="AH55" s="169">
        <f>AH49/$AH$50</f>
        <v>5.2117263843648211E-2</v>
      </c>
    </row>
    <row r="56" spans="2:37">
      <c r="C56" s="1"/>
      <c r="F56" s="157"/>
      <c r="G56" s="157"/>
      <c r="M56" s="157"/>
      <c r="N56" s="157"/>
      <c r="T56" s="157"/>
      <c r="U56" s="157"/>
      <c r="AA56" s="157"/>
      <c r="AB56" s="157"/>
    </row>
    <row r="57" spans="2:37">
      <c r="B57" t="s">
        <v>36</v>
      </c>
      <c r="C57" s="142">
        <v>47</v>
      </c>
      <c r="D57" s="142">
        <v>47</v>
      </c>
      <c r="E57" s="142">
        <v>47</v>
      </c>
      <c r="F57" s="159">
        <v>47</v>
      </c>
      <c r="G57" s="159">
        <v>47</v>
      </c>
      <c r="H57" s="142">
        <v>47</v>
      </c>
      <c r="I57" s="142">
        <v>47</v>
      </c>
      <c r="J57" s="142">
        <v>47</v>
      </c>
      <c r="K57" s="142">
        <v>47</v>
      </c>
      <c r="L57" s="142">
        <v>47</v>
      </c>
      <c r="M57" s="159">
        <v>47</v>
      </c>
      <c r="N57" s="159">
        <v>47</v>
      </c>
      <c r="O57" s="142">
        <v>47</v>
      </c>
      <c r="P57" s="142">
        <v>47</v>
      </c>
      <c r="Q57" s="142">
        <v>47</v>
      </c>
      <c r="R57" s="142">
        <v>47</v>
      </c>
      <c r="S57" s="142">
        <v>47</v>
      </c>
      <c r="T57" s="159">
        <v>47</v>
      </c>
      <c r="U57" s="159">
        <v>47</v>
      </c>
      <c r="V57" s="142">
        <v>47</v>
      </c>
      <c r="W57" s="142">
        <v>47</v>
      </c>
      <c r="X57" s="142">
        <v>47</v>
      </c>
      <c r="Y57" s="142">
        <v>47</v>
      </c>
      <c r="Z57" s="142">
        <v>47</v>
      </c>
      <c r="AA57" s="159">
        <v>47</v>
      </c>
      <c r="AB57" s="159">
        <v>47</v>
      </c>
      <c r="AC57" s="142">
        <v>47</v>
      </c>
      <c r="AD57" s="142">
        <v>47</v>
      </c>
      <c r="AE57" s="142">
        <v>47</v>
      </c>
      <c r="AF57" s="142">
        <v>47</v>
      </c>
      <c r="AG57" s="142">
        <v>47</v>
      </c>
      <c r="AH57" s="142">
        <v>47</v>
      </c>
    </row>
    <row r="58" spans="2:37">
      <c r="B58" t="s">
        <v>32</v>
      </c>
      <c r="C58" s="142">
        <v>9</v>
      </c>
      <c r="D58" s="142">
        <v>9</v>
      </c>
      <c r="E58" s="142">
        <v>9</v>
      </c>
      <c r="F58" s="159">
        <v>9</v>
      </c>
      <c r="G58" s="159">
        <v>9</v>
      </c>
      <c r="H58" s="142">
        <v>9</v>
      </c>
      <c r="I58" s="142">
        <v>9</v>
      </c>
      <c r="J58" s="142">
        <v>9</v>
      </c>
      <c r="K58" s="142">
        <v>9</v>
      </c>
      <c r="L58" s="142">
        <v>9</v>
      </c>
      <c r="M58" s="159">
        <v>9</v>
      </c>
      <c r="N58" s="159">
        <v>9</v>
      </c>
      <c r="O58" s="142">
        <v>9</v>
      </c>
      <c r="P58" s="142">
        <v>9</v>
      </c>
      <c r="Q58" s="142">
        <v>9</v>
      </c>
      <c r="R58" s="142">
        <v>9</v>
      </c>
      <c r="S58" s="142">
        <v>9</v>
      </c>
      <c r="T58" s="159">
        <v>9</v>
      </c>
      <c r="U58" s="159">
        <v>9</v>
      </c>
      <c r="V58" s="142">
        <v>9</v>
      </c>
      <c r="W58" s="142">
        <v>9</v>
      </c>
      <c r="X58" s="142">
        <v>9</v>
      </c>
      <c r="Y58" s="142">
        <v>9</v>
      </c>
      <c r="Z58" s="142">
        <v>9</v>
      </c>
      <c r="AA58" s="159">
        <v>9</v>
      </c>
      <c r="AB58" s="159">
        <v>9</v>
      </c>
      <c r="AC58" s="142">
        <v>9</v>
      </c>
      <c r="AD58" s="142">
        <v>9</v>
      </c>
      <c r="AE58" s="142">
        <v>9</v>
      </c>
      <c r="AF58" s="142">
        <v>9</v>
      </c>
      <c r="AG58" s="142">
        <v>9</v>
      </c>
      <c r="AH58" s="142">
        <v>9</v>
      </c>
    </row>
    <row r="59" spans="2:37">
      <c r="F59" s="157"/>
      <c r="G59" s="157"/>
      <c r="M59" s="157"/>
      <c r="N59" s="157"/>
      <c r="T59" s="157"/>
      <c r="U59" s="157"/>
      <c r="AA59" s="157"/>
      <c r="AB59" s="157"/>
      <c r="AH59"/>
    </row>
    <row r="60" spans="2:37">
      <c r="B60" t="s">
        <v>37</v>
      </c>
      <c r="C60" s="142">
        <v>12</v>
      </c>
      <c r="D60" s="142">
        <v>12</v>
      </c>
      <c r="E60" s="142">
        <v>12</v>
      </c>
      <c r="F60" s="159">
        <v>12</v>
      </c>
      <c r="G60" s="159">
        <v>12</v>
      </c>
      <c r="H60" s="142">
        <v>12</v>
      </c>
      <c r="I60" s="142">
        <v>12</v>
      </c>
      <c r="J60" s="142">
        <v>12</v>
      </c>
      <c r="K60" s="142">
        <v>12</v>
      </c>
      <c r="L60" s="142">
        <v>12</v>
      </c>
      <c r="M60" s="159">
        <v>12</v>
      </c>
      <c r="N60" s="159">
        <v>12</v>
      </c>
      <c r="O60" s="142">
        <v>12</v>
      </c>
      <c r="P60" s="142">
        <v>12</v>
      </c>
      <c r="Q60" s="142">
        <v>12</v>
      </c>
      <c r="R60" s="142">
        <v>12</v>
      </c>
      <c r="S60" s="142">
        <v>12</v>
      </c>
      <c r="T60" s="159">
        <v>12</v>
      </c>
      <c r="U60" s="159">
        <v>12</v>
      </c>
      <c r="V60" s="142">
        <v>12</v>
      </c>
      <c r="W60" s="142">
        <v>12</v>
      </c>
      <c r="X60" s="142">
        <v>12</v>
      </c>
      <c r="Y60" s="142">
        <v>12</v>
      </c>
      <c r="Z60" s="142">
        <v>12</v>
      </c>
      <c r="AA60" s="159">
        <v>12</v>
      </c>
      <c r="AB60" s="159">
        <v>12</v>
      </c>
      <c r="AC60" s="142">
        <v>12</v>
      </c>
      <c r="AD60" s="142">
        <v>12</v>
      </c>
      <c r="AE60" s="142">
        <v>12</v>
      </c>
      <c r="AF60" s="142">
        <v>12</v>
      </c>
      <c r="AG60" s="142">
        <v>12</v>
      </c>
      <c r="AH60" s="142">
        <v>12</v>
      </c>
    </row>
    <row r="61" spans="2:37">
      <c r="B61" t="s">
        <v>33</v>
      </c>
      <c r="C61" s="142">
        <v>0</v>
      </c>
      <c r="D61" s="142">
        <v>0</v>
      </c>
      <c r="E61" s="142">
        <v>0</v>
      </c>
      <c r="F61" s="159">
        <v>0</v>
      </c>
      <c r="G61" s="159">
        <v>0</v>
      </c>
      <c r="H61" s="142">
        <v>0</v>
      </c>
      <c r="I61" s="142">
        <v>0</v>
      </c>
      <c r="J61" s="142">
        <v>0</v>
      </c>
      <c r="K61" s="142">
        <v>0</v>
      </c>
      <c r="L61" s="142">
        <v>0</v>
      </c>
      <c r="M61" s="159">
        <v>0</v>
      </c>
      <c r="N61" s="159">
        <v>0</v>
      </c>
      <c r="O61" s="142">
        <v>0</v>
      </c>
      <c r="P61" s="142">
        <v>0</v>
      </c>
      <c r="Q61" s="142">
        <v>0</v>
      </c>
      <c r="R61" s="142">
        <v>0</v>
      </c>
      <c r="S61" s="142">
        <v>0</v>
      </c>
      <c r="T61" s="159">
        <v>0</v>
      </c>
      <c r="U61" s="159">
        <v>0</v>
      </c>
      <c r="V61" s="142">
        <v>0</v>
      </c>
      <c r="W61" s="142">
        <v>0</v>
      </c>
      <c r="X61" s="142">
        <v>0</v>
      </c>
      <c r="Y61" s="142">
        <v>0</v>
      </c>
      <c r="Z61" s="142">
        <v>0</v>
      </c>
      <c r="AA61" s="159">
        <v>0</v>
      </c>
      <c r="AB61" s="159">
        <v>0</v>
      </c>
      <c r="AC61" s="142">
        <v>0</v>
      </c>
      <c r="AD61" s="142">
        <v>0</v>
      </c>
      <c r="AE61" s="142">
        <v>0</v>
      </c>
      <c r="AF61" s="142">
        <v>0</v>
      </c>
      <c r="AG61" s="142">
        <v>0</v>
      </c>
      <c r="AH61" s="142">
        <v>0</v>
      </c>
    </row>
    <row r="62" spans="2:37">
      <c r="C62" s="142"/>
      <c r="D62" s="142"/>
      <c r="E62" s="142"/>
      <c r="F62" s="159"/>
      <c r="G62" s="159"/>
      <c r="H62" s="142"/>
      <c r="I62" s="142"/>
      <c r="J62" s="142"/>
      <c r="K62" s="142"/>
      <c r="L62" s="142"/>
      <c r="M62" s="159"/>
      <c r="N62" s="159"/>
      <c r="O62" s="142"/>
      <c r="P62" s="142"/>
      <c r="Q62" s="142"/>
      <c r="R62" s="142"/>
      <c r="S62" s="142"/>
      <c r="T62" s="159"/>
      <c r="U62" s="159"/>
      <c r="V62" s="142"/>
      <c r="W62" s="142"/>
      <c r="X62" s="142"/>
      <c r="Y62" s="142"/>
      <c r="Z62" s="142"/>
      <c r="AA62" s="159"/>
      <c r="AB62" s="159"/>
      <c r="AC62" s="142"/>
      <c r="AD62" s="142"/>
      <c r="AE62" s="142"/>
      <c r="AF62" s="142"/>
      <c r="AG62" s="142"/>
    </row>
    <row r="63" spans="2:37">
      <c r="B63" t="s">
        <v>34</v>
      </c>
      <c r="C63" s="142">
        <v>20</v>
      </c>
      <c r="D63" s="142">
        <v>20</v>
      </c>
      <c r="E63" s="142">
        <v>20</v>
      </c>
      <c r="F63" s="159">
        <v>20</v>
      </c>
      <c r="G63" s="159">
        <v>20</v>
      </c>
      <c r="H63" s="142">
        <v>20</v>
      </c>
      <c r="I63" s="142">
        <v>20</v>
      </c>
      <c r="J63" s="142">
        <v>20</v>
      </c>
      <c r="K63" s="142">
        <v>20</v>
      </c>
      <c r="L63" s="142">
        <v>20</v>
      </c>
      <c r="M63" s="159">
        <v>20</v>
      </c>
      <c r="N63" s="159">
        <v>20</v>
      </c>
      <c r="O63" s="142">
        <v>20</v>
      </c>
      <c r="P63" s="142">
        <v>20</v>
      </c>
      <c r="Q63" s="142">
        <v>20</v>
      </c>
      <c r="R63" s="142">
        <v>20</v>
      </c>
      <c r="S63" s="142">
        <v>20</v>
      </c>
      <c r="T63" s="159">
        <v>20</v>
      </c>
      <c r="U63" s="159">
        <v>20</v>
      </c>
      <c r="V63" s="142">
        <v>20</v>
      </c>
      <c r="W63" s="142">
        <v>20</v>
      </c>
      <c r="X63" s="142">
        <v>20</v>
      </c>
      <c r="Y63" s="142">
        <v>20</v>
      </c>
      <c r="Z63" s="142">
        <v>20</v>
      </c>
      <c r="AA63" s="159">
        <v>20</v>
      </c>
      <c r="AB63" s="159">
        <v>20</v>
      </c>
      <c r="AC63" s="142">
        <v>20</v>
      </c>
      <c r="AD63" s="142">
        <v>20</v>
      </c>
      <c r="AE63" s="142">
        <v>20</v>
      </c>
      <c r="AF63" s="142">
        <v>20</v>
      </c>
      <c r="AG63" s="142">
        <v>20</v>
      </c>
      <c r="AH63" s="142">
        <v>20</v>
      </c>
    </row>
    <row r="64" spans="2:37">
      <c r="B64" t="s">
        <v>35</v>
      </c>
      <c r="C64" s="142">
        <v>3</v>
      </c>
      <c r="D64" s="142">
        <v>3</v>
      </c>
      <c r="E64" s="142">
        <v>3</v>
      </c>
      <c r="F64" s="159">
        <v>3</v>
      </c>
      <c r="G64" s="159">
        <v>3</v>
      </c>
      <c r="H64" s="142">
        <v>3</v>
      </c>
      <c r="I64" s="142">
        <v>3</v>
      </c>
      <c r="J64" s="142">
        <v>3</v>
      </c>
      <c r="K64" s="142">
        <v>3</v>
      </c>
      <c r="L64" s="142">
        <v>3</v>
      </c>
      <c r="M64" s="159">
        <v>3</v>
      </c>
      <c r="N64" s="159">
        <v>3</v>
      </c>
      <c r="O64" s="142">
        <v>3</v>
      </c>
      <c r="P64" s="142">
        <v>3</v>
      </c>
      <c r="Q64" s="142">
        <v>3</v>
      </c>
      <c r="R64" s="142">
        <v>3</v>
      </c>
      <c r="S64" s="142">
        <v>3</v>
      </c>
      <c r="T64" s="159">
        <v>3</v>
      </c>
      <c r="U64" s="159">
        <v>3</v>
      </c>
      <c r="V64" s="142">
        <v>3</v>
      </c>
      <c r="W64" s="142">
        <v>3</v>
      </c>
      <c r="X64" s="142">
        <v>3</v>
      </c>
      <c r="Y64" s="142">
        <v>3</v>
      </c>
      <c r="Z64" s="142">
        <v>3</v>
      </c>
      <c r="AA64" s="159">
        <v>3</v>
      </c>
      <c r="AB64" s="159">
        <v>3</v>
      </c>
      <c r="AC64" s="142">
        <v>3</v>
      </c>
      <c r="AD64" s="142">
        <v>3</v>
      </c>
      <c r="AE64" s="142">
        <v>3</v>
      </c>
      <c r="AF64" s="142">
        <v>3</v>
      </c>
      <c r="AG64" s="142">
        <v>3</v>
      </c>
      <c r="AH64" s="142">
        <v>3</v>
      </c>
    </row>
    <row r="65" spans="2:34">
      <c r="C65" s="142"/>
      <c r="D65" s="142"/>
      <c r="E65" s="142"/>
      <c r="F65" s="159"/>
      <c r="G65" s="159"/>
      <c r="H65" s="142"/>
      <c r="I65" s="142"/>
      <c r="J65" s="142"/>
      <c r="K65" s="142"/>
      <c r="L65" s="142"/>
      <c r="M65" s="159"/>
      <c r="N65" s="159"/>
      <c r="O65" s="142"/>
      <c r="P65" s="142"/>
      <c r="Q65" s="142"/>
      <c r="R65" s="142"/>
      <c r="S65" s="142"/>
      <c r="T65" s="159"/>
      <c r="U65" s="159"/>
      <c r="V65" s="142"/>
      <c r="W65" s="142"/>
      <c r="X65" s="142"/>
      <c r="Y65" s="142"/>
      <c r="Z65" s="142"/>
      <c r="AA65" s="159"/>
      <c r="AB65" s="159"/>
      <c r="AC65" s="142"/>
      <c r="AD65" s="142"/>
      <c r="AE65" s="142"/>
      <c r="AF65" s="142"/>
      <c r="AG65" s="142"/>
    </row>
    <row r="66" spans="2:34">
      <c r="B66" t="s">
        <v>38</v>
      </c>
      <c r="C66" s="142">
        <v>26</v>
      </c>
      <c r="D66" s="142">
        <v>26</v>
      </c>
      <c r="E66" s="142">
        <v>26</v>
      </c>
      <c r="F66" s="159">
        <v>26</v>
      </c>
      <c r="G66" s="159">
        <v>26</v>
      </c>
      <c r="H66" s="142">
        <v>26</v>
      </c>
      <c r="I66" s="142">
        <v>26</v>
      </c>
      <c r="J66" s="142">
        <v>26</v>
      </c>
      <c r="K66" s="142">
        <v>26</v>
      </c>
      <c r="L66" s="142">
        <v>26</v>
      </c>
      <c r="M66" s="159">
        <v>26</v>
      </c>
      <c r="N66" s="159">
        <v>26</v>
      </c>
      <c r="O66" s="142">
        <v>26</v>
      </c>
      <c r="P66" s="142">
        <v>26</v>
      </c>
      <c r="Q66" s="142">
        <v>26</v>
      </c>
      <c r="R66" s="142">
        <v>26</v>
      </c>
      <c r="S66" s="142">
        <v>26</v>
      </c>
      <c r="T66" s="159">
        <v>26</v>
      </c>
      <c r="U66" s="159">
        <v>26</v>
      </c>
      <c r="V66" s="142">
        <v>26</v>
      </c>
      <c r="W66" s="142">
        <v>26</v>
      </c>
      <c r="X66" s="142">
        <v>26</v>
      </c>
      <c r="Y66" s="142">
        <v>26</v>
      </c>
      <c r="Z66" s="142">
        <v>26</v>
      </c>
      <c r="AA66" s="159">
        <v>26</v>
      </c>
      <c r="AB66" s="159">
        <v>26</v>
      </c>
      <c r="AC66" s="142">
        <v>26</v>
      </c>
      <c r="AD66" s="142">
        <v>26</v>
      </c>
      <c r="AE66" s="142">
        <v>26</v>
      </c>
      <c r="AF66" s="142">
        <v>26</v>
      </c>
      <c r="AG66" s="142">
        <v>26</v>
      </c>
      <c r="AH66" s="142">
        <v>26</v>
      </c>
    </row>
    <row r="67" spans="2:34">
      <c r="B67" t="s">
        <v>39</v>
      </c>
      <c r="C67" s="142">
        <v>1</v>
      </c>
      <c r="D67" s="142">
        <v>1</v>
      </c>
      <c r="E67" s="142">
        <v>1</v>
      </c>
      <c r="F67" s="159">
        <v>1</v>
      </c>
      <c r="G67" s="159">
        <v>1</v>
      </c>
      <c r="H67" s="142">
        <v>1</v>
      </c>
      <c r="I67" s="142">
        <v>1</v>
      </c>
      <c r="J67" s="142">
        <v>1</v>
      </c>
      <c r="K67" s="142">
        <v>1</v>
      </c>
      <c r="L67" s="142">
        <v>1</v>
      </c>
      <c r="M67" s="159">
        <v>1</v>
      </c>
      <c r="N67" s="159">
        <v>1</v>
      </c>
      <c r="O67" s="142">
        <v>1</v>
      </c>
      <c r="P67" s="142">
        <v>1</v>
      </c>
      <c r="Q67" s="142">
        <v>1</v>
      </c>
      <c r="R67" s="142">
        <v>1</v>
      </c>
      <c r="S67" s="142">
        <v>1</v>
      </c>
      <c r="T67" s="159">
        <v>1</v>
      </c>
      <c r="U67" s="159">
        <v>1</v>
      </c>
      <c r="V67" s="142">
        <v>1</v>
      </c>
      <c r="W67" s="142">
        <v>1</v>
      </c>
      <c r="X67" s="142">
        <v>1</v>
      </c>
      <c r="Y67" s="142">
        <v>1</v>
      </c>
      <c r="Z67" s="142">
        <v>1</v>
      </c>
      <c r="AA67" s="159">
        <v>1</v>
      </c>
      <c r="AB67" s="159">
        <v>1</v>
      </c>
      <c r="AC67" s="142">
        <v>1</v>
      </c>
      <c r="AD67" s="142">
        <v>1</v>
      </c>
      <c r="AE67" s="142">
        <v>1</v>
      </c>
      <c r="AF67" s="142">
        <v>1</v>
      </c>
      <c r="AG67" s="142">
        <v>1</v>
      </c>
      <c r="AH67" s="142">
        <v>1</v>
      </c>
    </row>
    <row r="68" spans="2:34">
      <c r="C68" s="142"/>
      <c r="D68" s="142"/>
      <c r="E68" s="142"/>
      <c r="F68" s="159"/>
      <c r="G68" s="159"/>
      <c r="H68" s="142"/>
      <c r="I68" s="142"/>
      <c r="J68" s="142"/>
      <c r="K68" s="142"/>
      <c r="L68" s="142"/>
      <c r="M68" s="159"/>
      <c r="N68" s="159"/>
      <c r="O68" s="142"/>
      <c r="P68" s="142"/>
      <c r="Q68" s="142"/>
      <c r="R68" s="142"/>
      <c r="S68" s="142"/>
      <c r="T68" s="159"/>
      <c r="U68" s="159"/>
      <c r="V68" s="142"/>
      <c r="W68" s="142"/>
      <c r="X68" s="142"/>
      <c r="Y68" s="142"/>
      <c r="Z68" s="142"/>
      <c r="AA68" s="159"/>
      <c r="AB68" s="159"/>
      <c r="AC68" s="142"/>
      <c r="AD68" s="142"/>
      <c r="AE68" s="142"/>
      <c r="AF68" s="142"/>
      <c r="AG68" s="142"/>
    </row>
    <row r="69" spans="2:34">
      <c r="B69" t="s">
        <v>40</v>
      </c>
      <c r="C69" s="142">
        <v>20</v>
      </c>
      <c r="D69" s="142">
        <v>20</v>
      </c>
      <c r="E69" s="142">
        <v>20</v>
      </c>
      <c r="F69" s="159">
        <v>20</v>
      </c>
      <c r="G69" s="159">
        <v>20</v>
      </c>
      <c r="H69" s="142">
        <v>20</v>
      </c>
      <c r="I69" s="142">
        <v>20</v>
      </c>
      <c r="J69" s="142">
        <v>20</v>
      </c>
      <c r="K69" s="142">
        <v>20</v>
      </c>
      <c r="L69" s="142">
        <v>20</v>
      </c>
      <c r="M69" s="159">
        <v>20</v>
      </c>
      <c r="N69" s="159">
        <v>20</v>
      </c>
      <c r="O69" s="142">
        <v>20</v>
      </c>
      <c r="P69" s="142">
        <v>20</v>
      </c>
      <c r="Q69" s="142">
        <v>20</v>
      </c>
      <c r="R69" s="142">
        <v>20</v>
      </c>
      <c r="S69" s="142">
        <v>20</v>
      </c>
      <c r="T69" s="159">
        <v>20</v>
      </c>
      <c r="U69" s="159">
        <v>20</v>
      </c>
      <c r="V69" s="142">
        <v>20</v>
      </c>
      <c r="W69" s="142">
        <v>20</v>
      </c>
      <c r="X69" s="142">
        <v>20</v>
      </c>
      <c r="Y69" s="142">
        <v>20</v>
      </c>
      <c r="Z69" s="142">
        <v>20</v>
      </c>
      <c r="AA69" s="159">
        <v>20</v>
      </c>
      <c r="AB69" s="159">
        <v>20</v>
      </c>
      <c r="AC69" s="142">
        <v>20</v>
      </c>
      <c r="AD69" s="142">
        <v>20</v>
      </c>
      <c r="AE69" s="142">
        <v>20</v>
      </c>
      <c r="AF69" s="142">
        <v>20</v>
      </c>
      <c r="AG69" s="142">
        <v>20</v>
      </c>
      <c r="AH69" s="142">
        <v>20</v>
      </c>
    </row>
    <row r="70" spans="2:34">
      <c r="B70" t="s">
        <v>41</v>
      </c>
      <c r="C70" s="142">
        <v>1</v>
      </c>
      <c r="D70" s="142">
        <v>1</v>
      </c>
      <c r="E70" s="142">
        <v>1</v>
      </c>
      <c r="F70" s="159">
        <v>1</v>
      </c>
      <c r="G70" s="159">
        <v>1</v>
      </c>
      <c r="H70" s="142">
        <v>1</v>
      </c>
      <c r="I70" s="142">
        <v>1</v>
      </c>
      <c r="J70" s="142">
        <v>1</v>
      </c>
      <c r="K70" s="142">
        <v>1</v>
      </c>
      <c r="L70" s="142">
        <v>1</v>
      </c>
      <c r="M70" s="159">
        <v>1</v>
      </c>
      <c r="N70" s="159">
        <v>1</v>
      </c>
      <c r="O70" s="142">
        <v>1</v>
      </c>
      <c r="P70" s="142">
        <v>1</v>
      </c>
      <c r="Q70" s="142">
        <v>1</v>
      </c>
      <c r="R70" s="142">
        <v>1</v>
      </c>
      <c r="S70" s="142">
        <v>1</v>
      </c>
      <c r="T70" s="159">
        <v>1</v>
      </c>
      <c r="U70" s="159">
        <v>1</v>
      </c>
      <c r="V70" s="142">
        <v>1</v>
      </c>
      <c r="W70" s="142">
        <v>1</v>
      </c>
      <c r="X70" s="142">
        <v>1</v>
      </c>
      <c r="Y70" s="142">
        <v>1</v>
      </c>
      <c r="Z70" s="142">
        <v>1</v>
      </c>
      <c r="AA70" s="159">
        <v>1</v>
      </c>
      <c r="AB70" s="159">
        <v>1</v>
      </c>
      <c r="AC70" s="142">
        <v>1</v>
      </c>
      <c r="AD70" s="142">
        <v>1</v>
      </c>
      <c r="AE70" s="142">
        <v>1</v>
      </c>
      <c r="AF70" s="142">
        <v>1</v>
      </c>
      <c r="AG70" s="142">
        <v>1</v>
      </c>
      <c r="AH70" s="142">
        <v>1</v>
      </c>
    </row>
    <row r="71" spans="2:34">
      <c r="F71" s="157"/>
      <c r="G71" s="157"/>
      <c r="M71" s="157"/>
      <c r="N71" s="157"/>
      <c r="T71" s="157"/>
      <c r="U71" s="157"/>
      <c r="AA71" s="157"/>
      <c r="AB71" s="157"/>
    </row>
    <row r="72" spans="2:34">
      <c r="B72" t="s">
        <v>67</v>
      </c>
      <c r="C72" s="142">
        <v>4</v>
      </c>
      <c r="D72" s="142">
        <v>4</v>
      </c>
      <c r="E72" s="142">
        <v>4</v>
      </c>
      <c r="F72" s="157">
        <v>4</v>
      </c>
      <c r="G72" s="157">
        <v>4</v>
      </c>
      <c r="H72" s="142">
        <v>4</v>
      </c>
      <c r="I72" s="142">
        <v>4</v>
      </c>
      <c r="J72" s="142">
        <v>4</v>
      </c>
      <c r="K72" s="142">
        <v>4</v>
      </c>
      <c r="L72" s="142">
        <v>4</v>
      </c>
      <c r="M72" s="157">
        <v>4</v>
      </c>
      <c r="N72" s="157">
        <v>4</v>
      </c>
      <c r="O72" s="142">
        <v>4</v>
      </c>
      <c r="P72" s="142">
        <v>4</v>
      </c>
      <c r="Q72" s="142">
        <v>4</v>
      </c>
      <c r="R72" s="142">
        <v>4</v>
      </c>
      <c r="S72" s="142">
        <v>4</v>
      </c>
      <c r="T72" s="157">
        <v>4</v>
      </c>
      <c r="U72" s="157">
        <v>4</v>
      </c>
      <c r="V72" s="142">
        <v>4</v>
      </c>
      <c r="W72" s="142">
        <v>4</v>
      </c>
      <c r="X72" s="142">
        <v>4</v>
      </c>
      <c r="Y72" s="142">
        <v>4</v>
      </c>
      <c r="Z72" s="142">
        <v>4</v>
      </c>
      <c r="AA72" s="157">
        <v>4</v>
      </c>
      <c r="AB72" s="157">
        <v>4</v>
      </c>
      <c r="AC72" s="142">
        <v>4</v>
      </c>
      <c r="AD72" s="142">
        <v>4</v>
      </c>
      <c r="AE72" s="142">
        <v>4</v>
      </c>
      <c r="AF72" s="142">
        <v>4</v>
      </c>
      <c r="AG72" s="142">
        <v>4</v>
      </c>
      <c r="AH72" s="142">
        <v>4</v>
      </c>
    </row>
    <row r="73" spans="2:34">
      <c r="F73" s="157"/>
      <c r="G73" s="157"/>
      <c r="M73" s="157"/>
      <c r="N73" s="157"/>
      <c r="T73" s="157"/>
      <c r="U73" s="157"/>
      <c r="AA73" s="157"/>
      <c r="AB73" s="157"/>
    </row>
    <row r="74" spans="2:34">
      <c r="B74" t="s">
        <v>56</v>
      </c>
      <c r="C74" s="142">
        <f>C57+C60+C63+C66+C69</f>
        <v>125</v>
      </c>
      <c r="D74" s="142">
        <f>D57+D60+D63+D66+D69+D72</f>
        <v>129</v>
      </c>
      <c r="E74" s="142">
        <f t="shared" ref="E74:AH74" si="38">E57+E60+E63+E66+E69+E72</f>
        <v>129</v>
      </c>
      <c r="F74" s="159">
        <f t="shared" si="38"/>
        <v>129</v>
      </c>
      <c r="G74" s="159">
        <f t="shared" si="38"/>
        <v>129</v>
      </c>
      <c r="H74" s="142">
        <f t="shared" si="38"/>
        <v>129</v>
      </c>
      <c r="I74" s="142">
        <f t="shared" si="38"/>
        <v>129</v>
      </c>
      <c r="J74" s="142">
        <f t="shared" si="38"/>
        <v>129</v>
      </c>
      <c r="K74" s="142">
        <f t="shared" si="38"/>
        <v>129</v>
      </c>
      <c r="L74" s="142">
        <f t="shared" si="38"/>
        <v>129</v>
      </c>
      <c r="M74" s="159">
        <f t="shared" si="38"/>
        <v>129</v>
      </c>
      <c r="N74" s="159">
        <f t="shared" si="38"/>
        <v>129</v>
      </c>
      <c r="O74" s="142">
        <f t="shared" si="38"/>
        <v>129</v>
      </c>
      <c r="P74" s="142">
        <f t="shared" si="38"/>
        <v>129</v>
      </c>
      <c r="Q74" s="142">
        <f t="shared" si="38"/>
        <v>129</v>
      </c>
      <c r="R74" s="142">
        <f t="shared" si="38"/>
        <v>129</v>
      </c>
      <c r="S74" s="142">
        <f t="shared" si="38"/>
        <v>129</v>
      </c>
      <c r="T74" s="159">
        <f t="shared" si="38"/>
        <v>129</v>
      </c>
      <c r="U74" s="159">
        <f t="shared" si="38"/>
        <v>129</v>
      </c>
      <c r="V74" s="142">
        <f t="shared" si="38"/>
        <v>129</v>
      </c>
      <c r="W74" s="142">
        <f t="shared" si="38"/>
        <v>129</v>
      </c>
      <c r="X74" s="142">
        <f t="shared" si="38"/>
        <v>129</v>
      </c>
      <c r="Y74" s="142">
        <f t="shared" si="38"/>
        <v>129</v>
      </c>
      <c r="Z74" s="142">
        <f t="shared" si="38"/>
        <v>129</v>
      </c>
      <c r="AA74" s="159">
        <f t="shared" si="38"/>
        <v>129</v>
      </c>
      <c r="AB74" s="159">
        <f t="shared" si="38"/>
        <v>129</v>
      </c>
      <c r="AC74" s="142">
        <f t="shared" si="38"/>
        <v>129</v>
      </c>
      <c r="AD74" s="142">
        <f t="shared" si="38"/>
        <v>129</v>
      </c>
      <c r="AE74" s="142">
        <f t="shared" si="38"/>
        <v>129</v>
      </c>
      <c r="AF74" s="142">
        <f t="shared" si="38"/>
        <v>129</v>
      </c>
      <c r="AG74" s="142">
        <f t="shared" si="38"/>
        <v>129</v>
      </c>
      <c r="AH74" s="142">
        <f t="shared" si="38"/>
        <v>129</v>
      </c>
    </row>
    <row r="75" spans="2:34">
      <c r="B75" t="s">
        <v>57</v>
      </c>
      <c r="C75" s="142">
        <f>C58+C61+C64+C67+C70</f>
        <v>14</v>
      </c>
      <c r="D75" s="142">
        <f t="shared" ref="D75:AG75" si="39">D58+D61+D64+D67+D70</f>
        <v>14</v>
      </c>
      <c r="E75" s="142">
        <f t="shared" si="39"/>
        <v>14</v>
      </c>
      <c r="F75" s="159">
        <f t="shared" si="39"/>
        <v>14</v>
      </c>
      <c r="G75" s="159">
        <f t="shared" si="39"/>
        <v>14</v>
      </c>
      <c r="H75" s="142">
        <f t="shared" si="39"/>
        <v>14</v>
      </c>
      <c r="I75" s="142">
        <f t="shared" si="39"/>
        <v>14</v>
      </c>
      <c r="J75" s="142">
        <f t="shared" si="39"/>
        <v>14</v>
      </c>
      <c r="K75" s="142">
        <f t="shared" si="39"/>
        <v>14</v>
      </c>
      <c r="L75" s="142">
        <f t="shared" si="39"/>
        <v>14</v>
      </c>
      <c r="M75" s="159">
        <f t="shared" si="39"/>
        <v>14</v>
      </c>
      <c r="N75" s="159">
        <f t="shared" si="39"/>
        <v>14</v>
      </c>
      <c r="O75" s="142">
        <f t="shared" si="39"/>
        <v>14</v>
      </c>
      <c r="P75" s="142">
        <f t="shared" si="39"/>
        <v>14</v>
      </c>
      <c r="Q75" s="142">
        <f t="shared" si="39"/>
        <v>14</v>
      </c>
      <c r="R75" s="142">
        <f t="shared" si="39"/>
        <v>14</v>
      </c>
      <c r="S75" s="142">
        <f t="shared" si="39"/>
        <v>14</v>
      </c>
      <c r="T75" s="159">
        <f t="shared" si="39"/>
        <v>14</v>
      </c>
      <c r="U75" s="159">
        <f t="shared" si="39"/>
        <v>14</v>
      </c>
      <c r="V75" s="142">
        <f t="shared" si="39"/>
        <v>14</v>
      </c>
      <c r="W75" s="142">
        <f t="shared" si="39"/>
        <v>14</v>
      </c>
      <c r="X75" s="142">
        <f t="shared" si="39"/>
        <v>14</v>
      </c>
      <c r="Y75" s="142">
        <f t="shared" si="39"/>
        <v>14</v>
      </c>
      <c r="Z75" s="142">
        <f t="shared" si="39"/>
        <v>14</v>
      </c>
      <c r="AA75" s="159">
        <f t="shared" si="39"/>
        <v>14</v>
      </c>
      <c r="AB75" s="159">
        <f t="shared" si="39"/>
        <v>14</v>
      </c>
      <c r="AC75" s="142">
        <f t="shared" si="39"/>
        <v>14</v>
      </c>
      <c r="AD75" s="142">
        <f t="shared" si="39"/>
        <v>14</v>
      </c>
      <c r="AE75" s="142">
        <f t="shared" si="39"/>
        <v>14</v>
      </c>
      <c r="AF75" s="142">
        <f t="shared" si="39"/>
        <v>14</v>
      </c>
      <c r="AG75" s="142">
        <f t="shared" si="39"/>
        <v>14</v>
      </c>
      <c r="AH75" s="142">
        <f t="shared" ref="AH75" si="40">AH58+AH61+AH64+AH67+AH70</f>
        <v>14</v>
      </c>
    </row>
    <row r="76" spans="2:34">
      <c r="C76" s="142">
        <f>SUM(C74:C75)</f>
        <v>139</v>
      </c>
      <c r="D76" s="142">
        <f t="shared" ref="D76:AH76" si="41">SUM(D74:D75)</f>
        <v>143</v>
      </c>
      <c r="E76" s="142">
        <f t="shared" si="41"/>
        <v>143</v>
      </c>
      <c r="F76" s="159">
        <f t="shared" si="41"/>
        <v>143</v>
      </c>
      <c r="G76" s="159">
        <f t="shared" si="41"/>
        <v>143</v>
      </c>
      <c r="H76" s="142">
        <f t="shared" si="41"/>
        <v>143</v>
      </c>
      <c r="I76" s="142">
        <f t="shared" si="41"/>
        <v>143</v>
      </c>
      <c r="J76" s="142">
        <f t="shared" si="41"/>
        <v>143</v>
      </c>
      <c r="K76" s="142">
        <f t="shared" si="41"/>
        <v>143</v>
      </c>
      <c r="L76" s="142">
        <f t="shared" si="41"/>
        <v>143</v>
      </c>
      <c r="M76" s="159">
        <f t="shared" si="41"/>
        <v>143</v>
      </c>
      <c r="N76" s="159">
        <f t="shared" si="41"/>
        <v>143</v>
      </c>
      <c r="O76" s="142">
        <f t="shared" si="41"/>
        <v>143</v>
      </c>
      <c r="P76" s="142">
        <f t="shared" si="41"/>
        <v>143</v>
      </c>
      <c r="Q76" s="142">
        <f t="shared" si="41"/>
        <v>143</v>
      </c>
      <c r="R76" s="142">
        <f t="shared" si="41"/>
        <v>143</v>
      </c>
      <c r="S76" s="142">
        <f t="shared" si="41"/>
        <v>143</v>
      </c>
      <c r="T76" s="159">
        <f t="shared" si="41"/>
        <v>143</v>
      </c>
      <c r="U76" s="159">
        <f t="shared" si="41"/>
        <v>143</v>
      </c>
      <c r="V76" s="142">
        <f t="shared" si="41"/>
        <v>143</v>
      </c>
      <c r="W76" s="142">
        <f t="shared" si="41"/>
        <v>143</v>
      </c>
      <c r="X76" s="142">
        <f t="shared" si="41"/>
        <v>143</v>
      </c>
      <c r="Y76" s="142">
        <f t="shared" si="41"/>
        <v>143</v>
      </c>
      <c r="Z76" s="142">
        <f t="shared" si="41"/>
        <v>143</v>
      </c>
      <c r="AA76" s="159">
        <f t="shared" si="41"/>
        <v>143</v>
      </c>
      <c r="AB76" s="159">
        <f t="shared" si="41"/>
        <v>143</v>
      </c>
      <c r="AC76" s="142">
        <f t="shared" si="41"/>
        <v>143</v>
      </c>
      <c r="AD76" s="142">
        <f t="shared" si="41"/>
        <v>143</v>
      </c>
      <c r="AE76" s="142">
        <f t="shared" si="41"/>
        <v>143</v>
      </c>
      <c r="AF76" s="142">
        <f t="shared" si="41"/>
        <v>143</v>
      </c>
      <c r="AG76" s="142">
        <f t="shared" si="41"/>
        <v>143</v>
      </c>
      <c r="AH76" s="142">
        <f t="shared" si="41"/>
        <v>143</v>
      </c>
    </row>
    <row r="77" spans="2:34">
      <c r="C77" s="142"/>
      <c r="F77" s="157"/>
      <c r="G77" s="157"/>
      <c r="M77" s="157"/>
      <c r="N77" s="157"/>
      <c r="T77" s="157"/>
      <c r="U77" s="157"/>
      <c r="AA77" s="157"/>
      <c r="AB77" s="157"/>
      <c r="AH77"/>
    </row>
    <row r="78" spans="2:34">
      <c r="B78" t="s">
        <v>42</v>
      </c>
      <c r="C78" s="142">
        <f t="shared" ref="C78:V78" si="42">C4-C57</f>
        <v>-29</v>
      </c>
      <c r="D78" s="142">
        <f t="shared" si="42"/>
        <v>-18</v>
      </c>
      <c r="E78" s="142">
        <f t="shared" si="42"/>
        <v>-32</v>
      </c>
      <c r="F78" s="159">
        <f t="shared" si="42"/>
        <v>-35</v>
      </c>
      <c r="G78" s="159">
        <f t="shared" si="42"/>
        <v>-37</v>
      </c>
      <c r="H78" s="142">
        <f t="shared" si="42"/>
        <v>-31</v>
      </c>
      <c r="I78" s="142">
        <f t="shared" si="42"/>
        <v>-28</v>
      </c>
      <c r="J78" s="142">
        <f t="shared" si="42"/>
        <v>-27</v>
      </c>
      <c r="K78" s="142">
        <f t="shared" si="42"/>
        <v>-34</v>
      </c>
      <c r="L78" s="142">
        <f t="shared" si="42"/>
        <v>-29</v>
      </c>
      <c r="M78" s="159">
        <f t="shared" si="42"/>
        <v>-32</v>
      </c>
      <c r="N78" s="159">
        <f t="shared" si="42"/>
        <v>-47</v>
      </c>
      <c r="O78" s="142">
        <f t="shared" si="42"/>
        <v>-40</v>
      </c>
      <c r="P78" s="142">
        <f t="shared" si="42"/>
        <v>-27</v>
      </c>
      <c r="Q78" s="142">
        <f t="shared" si="42"/>
        <v>-24</v>
      </c>
      <c r="R78" s="142">
        <f t="shared" si="42"/>
        <v>-29</v>
      </c>
      <c r="S78" s="142">
        <f t="shared" si="42"/>
        <v>-31</v>
      </c>
      <c r="T78" s="159">
        <f t="shared" si="42"/>
        <v>-29</v>
      </c>
      <c r="U78" s="159">
        <f t="shared" si="42"/>
        <v>-36</v>
      </c>
      <c r="V78" s="142">
        <f t="shared" si="42"/>
        <v>-34</v>
      </c>
      <c r="W78" s="142">
        <f t="shared" ref="W78:AB78" si="43">W4-W57</f>
        <v>-24</v>
      </c>
      <c r="X78" s="142">
        <f t="shared" si="43"/>
        <v>-29</v>
      </c>
      <c r="Y78" s="142">
        <f t="shared" si="43"/>
        <v>-27</v>
      </c>
      <c r="Z78" s="142">
        <f t="shared" si="43"/>
        <v>-32</v>
      </c>
      <c r="AA78" s="142">
        <f t="shared" si="43"/>
        <v>-22</v>
      </c>
      <c r="AB78" s="142">
        <f t="shared" si="43"/>
        <v>-47</v>
      </c>
      <c r="AC78" s="142">
        <f t="shared" ref="AC78:AF78" si="44">AC4-AC57</f>
        <v>-40</v>
      </c>
      <c r="AD78" s="142">
        <f t="shared" si="44"/>
        <v>-21</v>
      </c>
      <c r="AE78" s="142">
        <f t="shared" si="44"/>
        <v>-26</v>
      </c>
      <c r="AF78" s="142">
        <f t="shared" si="44"/>
        <v>-29</v>
      </c>
      <c r="AG78" s="142"/>
      <c r="AH78" s="142">
        <f>SUM(C78:AG78)</f>
        <v>-926</v>
      </c>
    </row>
    <row r="79" spans="2:34">
      <c r="B79" t="s">
        <v>43</v>
      </c>
      <c r="C79" s="142">
        <f t="shared" ref="C79:V79" si="45">C11-C60</f>
        <v>-10</v>
      </c>
      <c r="D79" s="142">
        <f t="shared" si="45"/>
        <v>-9</v>
      </c>
      <c r="E79" s="142">
        <f t="shared" si="45"/>
        <v>-7</v>
      </c>
      <c r="F79" s="159">
        <f t="shared" si="45"/>
        <v>-12</v>
      </c>
      <c r="G79" s="159">
        <f t="shared" si="45"/>
        <v>-12</v>
      </c>
      <c r="H79" s="142">
        <f t="shared" si="45"/>
        <v>-8</v>
      </c>
      <c r="I79" s="142">
        <f t="shared" si="45"/>
        <v>-7</v>
      </c>
      <c r="J79" s="142">
        <f t="shared" si="45"/>
        <v>-9</v>
      </c>
      <c r="K79" s="142">
        <f t="shared" si="45"/>
        <v>-9</v>
      </c>
      <c r="L79" s="142">
        <f t="shared" si="45"/>
        <v>-8</v>
      </c>
      <c r="M79" s="159">
        <f t="shared" si="45"/>
        <v>-5</v>
      </c>
      <c r="N79" s="159">
        <f t="shared" si="45"/>
        <v>-12</v>
      </c>
      <c r="O79" s="142">
        <f t="shared" si="45"/>
        <v>-7</v>
      </c>
      <c r="P79" s="142">
        <f t="shared" si="45"/>
        <v>-6</v>
      </c>
      <c r="Q79" s="142">
        <f t="shared" si="45"/>
        <v>-5</v>
      </c>
      <c r="R79" s="142">
        <f t="shared" si="45"/>
        <v>-7</v>
      </c>
      <c r="S79" s="142">
        <f t="shared" si="45"/>
        <v>-6</v>
      </c>
      <c r="T79" s="159">
        <f t="shared" si="45"/>
        <v>-5</v>
      </c>
      <c r="U79" s="159">
        <f t="shared" si="45"/>
        <v>-12</v>
      </c>
      <c r="V79" s="142">
        <f t="shared" si="45"/>
        <v>-6</v>
      </c>
      <c r="W79" s="142">
        <f t="shared" ref="W79:AB79" si="46">W11-W60</f>
        <v>-7</v>
      </c>
      <c r="X79" s="142">
        <f t="shared" si="46"/>
        <v>-7</v>
      </c>
      <c r="Y79" s="142">
        <f t="shared" si="46"/>
        <v>-8</v>
      </c>
      <c r="Z79" s="142">
        <f t="shared" si="46"/>
        <v>-9</v>
      </c>
      <c r="AA79" s="142">
        <f t="shared" si="46"/>
        <v>-6</v>
      </c>
      <c r="AB79" s="142">
        <f t="shared" si="46"/>
        <v>-12</v>
      </c>
      <c r="AC79" s="142">
        <f t="shared" ref="AC79:AF79" si="47">AC11-AC60</f>
        <v>-8</v>
      </c>
      <c r="AD79" s="142">
        <f t="shared" si="47"/>
        <v>-6</v>
      </c>
      <c r="AE79" s="142">
        <f t="shared" si="47"/>
        <v>-9</v>
      </c>
      <c r="AF79" s="142">
        <f t="shared" si="47"/>
        <v>-7</v>
      </c>
      <c r="AG79" s="142"/>
      <c r="AH79" s="142">
        <f t="shared" ref="AH79:AH82" si="48">SUM(C79:AG79)</f>
        <v>-241</v>
      </c>
    </row>
    <row r="80" spans="2:34">
      <c r="B80" t="s">
        <v>44</v>
      </c>
      <c r="C80" s="142">
        <f t="shared" ref="C80:V80" si="49">C18-C63</f>
        <v>-12</v>
      </c>
      <c r="D80" s="142">
        <f t="shared" si="49"/>
        <v>-14</v>
      </c>
      <c r="E80" s="142">
        <f t="shared" si="49"/>
        <v>-12</v>
      </c>
      <c r="F80" s="159">
        <f t="shared" si="49"/>
        <v>-9</v>
      </c>
      <c r="G80" s="159">
        <f t="shared" si="49"/>
        <v>-20</v>
      </c>
      <c r="H80" s="142">
        <f t="shared" si="49"/>
        <v>-12</v>
      </c>
      <c r="I80" s="142">
        <f t="shared" si="49"/>
        <v>-11</v>
      </c>
      <c r="J80" s="142">
        <f t="shared" si="49"/>
        <v>-8</v>
      </c>
      <c r="K80" s="142">
        <f t="shared" si="49"/>
        <v>-11</v>
      </c>
      <c r="L80" s="142">
        <f t="shared" si="49"/>
        <v>-20</v>
      </c>
      <c r="M80" s="159">
        <f t="shared" si="49"/>
        <v>-5</v>
      </c>
      <c r="N80" s="159">
        <f t="shared" si="49"/>
        <v>-17</v>
      </c>
      <c r="O80" s="142">
        <f t="shared" si="49"/>
        <v>-9</v>
      </c>
      <c r="P80" s="142">
        <f t="shared" si="49"/>
        <v>-9</v>
      </c>
      <c r="Q80" s="142">
        <f t="shared" si="49"/>
        <v>-13</v>
      </c>
      <c r="R80" s="142">
        <f t="shared" si="49"/>
        <v>-12</v>
      </c>
      <c r="S80" s="142">
        <f t="shared" si="49"/>
        <v>-15</v>
      </c>
      <c r="T80" s="159">
        <f t="shared" si="49"/>
        <v>-8</v>
      </c>
      <c r="U80" s="159">
        <f t="shared" si="49"/>
        <v>-20</v>
      </c>
      <c r="V80" s="142">
        <f t="shared" si="49"/>
        <v>-14</v>
      </c>
      <c r="W80" s="142">
        <f t="shared" ref="W80:AB80" si="50">W18-W63</f>
        <v>-11</v>
      </c>
      <c r="X80" s="142">
        <f t="shared" si="50"/>
        <v>-6</v>
      </c>
      <c r="Y80" s="142">
        <f t="shared" si="50"/>
        <v>-7</v>
      </c>
      <c r="Z80" s="142">
        <f t="shared" si="50"/>
        <v>-14</v>
      </c>
      <c r="AA80" s="142">
        <f t="shared" si="50"/>
        <v>-5</v>
      </c>
      <c r="AB80" s="142">
        <f t="shared" si="50"/>
        <v>-20</v>
      </c>
      <c r="AC80" s="142">
        <f t="shared" ref="AC80:AF80" si="51">AC18-AC63</f>
        <v>-12</v>
      </c>
      <c r="AD80" s="142">
        <f t="shared" si="51"/>
        <v>-11</v>
      </c>
      <c r="AE80" s="142">
        <f t="shared" si="51"/>
        <v>-7</v>
      </c>
      <c r="AF80" s="142">
        <f t="shared" si="51"/>
        <v>-13</v>
      </c>
      <c r="AG80" s="142"/>
      <c r="AH80" s="142">
        <f t="shared" si="48"/>
        <v>-357</v>
      </c>
    </row>
    <row r="81" spans="2:36">
      <c r="B81" t="s">
        <v>45</v>
      </c>
      <c r="C81" s="142">
        <f t="shared" ref="C81:V81" si="52">C25-C66</f>
        <v>-16</v>
      </c>
      <c r="D81" s="142">
        <f t="shared" si="52"/>
        <v>-13</v>
      </c>
      <c r="E81" s="142">
        <f t="shared" si="52"/>
        <v>-23</v>
      </c>
      <c r="F81" s="159">
        <f t="shared" si="52"/>
        <v>-20</v>
      </c>
      <c r="G81" s="159">
        <f t="shared" si="52"/>
        <v>-21</v>
      </c>
      <c r="H81" s="142">
        <f t="shared" si="52"/>
        <v>-15</v>
      </c>
      <c r="I81" s="142">
        <f t="shared" si="52"/>
        <v>-19</v>
      </c>
      <c r="J81" s="142">
        <f t="shared" si="52"/>
        <v>-15</v>
      </c>
      <c r="K81" s="142">
        <f t="shared" si="52"/>
        <v>-18</v>
      </c>
      <c r="L81" s="142">
        <f t="shared" si="52"/>
        <v>-21</v>
      </c>
      <c r="M81" s="159">
        <f t="shared" si="52"/>
        <v>-21</v>
      </c>
      <c r="N81" s="159">
        <f t="shared" si="52"/>
        <v>-22</v>
      </c>
      <c r="O81" s="142">
        <f t="shared" si="52"/>
        <v>-26</v>
      </c>
      <c r="P81" s="142">
        <f t="shared" si="52"/>
        <v>-13</v>
      </c>
      <c r="Q81" s="142">
        <f t="shared" si="52"/>
        <v>-18</v>
      </c>
      <c r="R81" s="142">
        <f t="shared" si="52"/>
        <v>-16</v>
      </c>
      <c r="S81" s="142">
        <f t="shared" si="52"/>
        <v>-17</v>
      </c>
      <c r="T81" s="159">
        <f t="shared" si="52"/>
        <v>-11</v>
      </c>
      <c r="U81" s="159">
        <f t="shared" si="52"/>
        <v>-24</v>
      </c>
      <c r="V81" s="142">
        <f t="shared" si="52"/>
        <v>-21</v>
      </c>
      <c r="W81" s="142">
        <f t="shared" ref="W81:AB81" si="53">W25-W66</f>
        <v>-17</v>
      </c>
      <c r="X81" s="142">
        <f t="shared" si="53"/>
        <v>-17</v>
      </c>
      <c r="Y81" s="142">
        <f t="shared" si="53"/>
        <v>-15</v>
      </c>
      <c r="Z81" s="142">
        <f t="shared" si="53"/>
        <v>-18</v>
      </c>
      <c r="AA81" s="142">
        <f t="shared" si="53"/>
        <v>-15</v>
      </c>
      <c r="AB81" s="142">
        <f t="shared" si="53"/>
        <v>-26</v>
      </c>
      <c r="AC81" s="142">
        <f t="shared" ref="AC81:AF81" si="54">AC25-AC66</f>
        <v>-17</v>
      </c>
      <c r="AD81" s="142">
        <f t="shared" si="54"/>
        <v>-18</v>
      </c>
      <c r="AE81" s="142">
        <f t="shared" si="54"/>
        <v>-17</v>
      </c>
      <c r="AF81" s="142">
        <f t="shared" si="54"/>
        <v>-16</v>
      </c>
      <c r="AG81" s="142"/>
      <c r="AH81" s="142">
        <f t="shared" si="48"/>
        <v>-546</v>
      </c>
    </row>
    <row r="82" spans="2:36">
      <c r="B82" t="s">
        <v>46</v>
      </c>
      <c r="C82" s="142">
        <f>C32-C69</f>
        <v>-11</v>
      </c>
      <c r="D82" s="142">
        <f t="shared" ref="D82:U82" si="55">D32-D69</f>
        <v>-13</v>
      </c>
      <c r="E82" s="142">
        <f t="shared" si="55"/>
        <v>-9</v>
      </c>
      <c r="F82" s="159">
        <f t="shared" si="55"/>
        <v>-13</v>
      </c>
      <c r="G82" s="159">
        <f t="shared" si="55"/>
        <v>-20</v>
      </c>
      <c r="H82" s="142">
        <f t="shared" si="55"/>
        <v>-15</v>
      </c>
      <c r="I82" s="142">
        <f t="shared" si="55"/>
        <v>-12</v>
      </c>
      <c r="J82" s="142">
        <f t="shared" si="55"/>
        <v>-13</v>
      </c>
      <c r="K82" s="142">
        <f t="shared" si="55"/>
        <v>-11</v>
      </c>
      <c r="L82" s="142">
        <f t="shared" si="55"/>
        <v>-12</v>
      </c>
      <c r="M82" s="159">
        <f t="shared" si="55"/>
        <v>-16</v>
      </c>
      <c r="N82" s="159">
        <f t="shared" si="55"/>
        <v>-20</v>
      </c>
      <c r="O82" s="142">
        <f t="shared" si="55"/>
        <v>-15</v>
      </c>
      <c r="P82" s="142">
        <f t="shared" si="55"/>
        <v>-11</v>
      </c>
      <c r="Q82" s="142">
        <f t="shared" si="55"/>
        <v>-11</v>
      </c>
      <c r="R82" s="142">
        <f t="shared" si="55"/>
        <v>-16</v>
      </c>
      <c r="S82" s="142">
        <f t="shared" si="55"/>
        <v>-13</v>
      </c>
      <c r="T82" s="159">
        <f t="shared" si="55"/>
        <v>-12</v>
      </c>
      <c r="U82" s="159">
        <f t="shared" si="55"/>
        <v>-20</v>
      </c>
      <c r="V82" s="142">
        <f t="shared" ref="V82" si="56">V32-V69</f>
        <v>-14</v>
      </c>
      <c r="W82" s="142">
        <f t="shared" ref="W82:AB82" si="57">W32-W69</f>
        <v>-12</v>
      </c>
      <c r="X82" s="142">
        <f t="shared" si="57"/>
        <v>-15</v>
      </c>
      <c r="Y82" s="142">
        <f t="shared" si="57"/>
        <v>-15</v>
      </c>
      <c r="Z82" s="142">
        <f t="shared" si="57"/>
        <v>-11</v>
      </c>
      <c r="AA82" s="142">
        <f t="shared" si="57"/>
        <v>-13</v>
      </c>
      <c r="AB82" s="142">
        <f t="shared" si="57"/>
        <v>-20</v>
      </c>
      <c r="AC82" s="142">
        <f t="shared" ref="AC82:AF82" si="58">AC32-AC69</f>
        <v>-19</v>
      </c>
      <c r="AD82" s="142">
        <f t="shared" si="58"/>
        <v>-15</v>
      </c>
      <c r="AE82" s="142">
        <f t="shared" si="58"/>
        <v>-12</v>
      </c>
      <c r="AF82" s="142">
        <f t="shared" si="58"/>
        <v>-13</v>
      </c>
      <c r="AG82" s="142"/>
      <c r="AH82" s="142">
        <f t="shared" si="48"/>
        <v>-422</v>
      </c>
    </row>
    <row r="83" spans="2:36">
      <c r="B83" t="s">
        <v>58</v>
      </c>
      <c r="C83" s="142">
        <f>SUM(C78:C82)</f>
        <v>-78</v>
      </c>
      <c r="D83" s="142">
        <f t="shared" ref="D83:U83" si="59">SUM(D78:D82)</f>
        <v>-67</v>
      </c>
      <c r="E83" s="142">
        <f t="shared" si="59"/>
        <v>-83</v>
      </c>
      <c r="F83" s="159">
        <f t="shared" si="59"/>
        <v>-89</v>
      </c>
      <c r="G83" s="159">
        <f t="shared" si="59"/>
        <v>-110</v>
      </c>
      <c r="H83" s="142">
        <f t="shared" si="59"/>
        <v>-81</v>
      </c>
      <c r="I83" s="142">
        <f t="shared" si="59"/>
        <v>-77</v>
      </c>
      <c r="J83" s="142">
        <f t="shared" si="59"/>
        <v>-72</v>
      </c>
      <c r="K83" s="142">
        <f t="shared" si="59"/>
        <v>-83</v>
      </c>
      <c r="L83" s="142">
        <f t="shared" si="59"/>
        <v>-90</v>
      </c>
      <c r="M83" s="159">
        <f t="shared" si="59"/>
        <v>-79</v>
      </c>
      <c r="N83" s="159">
        <f t="shared" si="59"/>
        <v>-118</v>
      </c>
      <c r="O83" s="142">
        <f t="shared" si="59"/>
        <v>-97</v>
      </c>
      <c r="P83" s="142">
        <f t="shared" si="59"/>
        <v>-66</v>
      </c>
      <c r="Q83" s="142">
        <f t="shared" si="59"/>
        <v>-71</v>
      </c>
      <c r="R83" s="142">
        <f t="shared" si="59"/>
        <v>-80</v>
      </c>
      <c r="S83" s="142">
        <f t="shared" si="59"/>
        <v>-82</v>
      </c>
      <c r="T83" s="159">
        <f t="shared" si="59"/>
        <v>-65</v>
      </c>
      <c r="U83" s="159">
        <f t="shared" si="59"/>
        <v>-112</v>
      </c>
      <c r="V83" s="142">
        <f>SUM(V78:V82)</f>
        <v>-89</v>
      </c>
      <c r="W83" s="142">
        <f t="shared" ref="W83:AB83" si="60">SUM(W78:W82)</f>
        <v>-71</v>
      </c>
      <c r="X83" s="142">
        <f t="shared" si="60"/>
        <v>-74</v>
      </c>
      <c r="Y83" s="142">
        <f t="shared" si="60"/>
        <v>-72</v>
      </c>
      <c r="Z83" s="142">
        <f t="shared" si="60"/>
        <v>-84</v>
      </c>
      <c r="AA83" s="142">
        <f t="shared" si="60"/>
        <v>-61</v>
      </c>
      <c r="AB83" s="142">
        <f t="shared" si="60"/>
        <v>-125</v>
      </c>
      <c r="AC83" s="142">
        <f t="shared" ref="AC83:AF83" si="61">SUM(AC78:AC82)</f>
        <v>-96</v>
      </c>
      <c r="AD83" s="142">
        <f t="shared" si="61"/>
        <v>-71</v>
      </c>
      <c r="AE83" s="142">
        <f t="shared" si="61"/>
        <v>-71</v>
      </c>
      <c r="AF83" s="142">
        <f t="shared" si="61"/>
        <v>-78</v>
      </c>
      <c r="AG83" s="142"/>
      <c r="AH83" s="142">
        <f>SUM(C83:AG83)</f>
        <v>-2492</v>
      </c>
    </row>
    <row r="84" spans="2:36">
      <c r="B84" t="s">
        <v>59</v>
      </c>
      <c r="C84" s="143">
        <f>C74+C83</f>
        <v>47</v>
      </c>
      <c r="D84" s="143">
        <f t="shared" ref="D84:U84" si="62">D74+D83</f>
        <v>62</v>
      </c>
      <c r="E84" s="143">
        <f t="shared" si="62"/>
        <v>46</v>
      </c>
      <c r="F84" s="158">
        <f t="shared" si="62"/>
        <v>40</v>
      </c>
      <c r="G84" s="158">
        <f t="shared" si="62"/>
        <v>19</v>
      </c>
      <c r="H84" s="143">
        <f t="shared" si="62"/>
        <v>48</v>
      </c>
      <c r="I84" s="143">
        <f t="shared" si="62"/>
        <v>52</v>
      </c>
      <c r="J84" s="143">
        <f t="shared" si="62"/>
        <v>57</v>
      </c>
      <c r="K84" s="143">
        <f t="shared" si="62"/>
        <v>46</v>
      </c>
      <c r="L84" s="143">
        <f t="shared" si="62"/>
        <v>39</v>
      </c>
      <c r="M84" s="158">
        <f t="shared" si="62"/>
        <v>50</v>
      </c>
      <c r="N84" s="158">
        <f t="shared" si="62"/>
        <v>11</v>
      </c>
      <c r="O84" s="143">
        <f t="shared" si="62"/>
        <v>32</v>
      </c>
      <c r="P84" s="143">
        <f t="shared" si="62"/>
        <v>63</v>
      </c>
      <c r="Q84" s="143">
        <f t="shared" si="62"/>
        <v>58</v>
      </c>
      <c r="R84" s="143">
        <f t="shared" si="62"/>
        <v>49</v>
      </c>
      <c r="S84" s="143">
        <f t="shared" si="62"/>
        <v>47</v>
      </c>
      <c r="T84" s="158">
        <f t="shared" si="62"/>
        <v>64</v>
      </c>
      <c r="U84" s="158">
        <f t="shared" si="62"/>
        <v>17</v>
      </c>
      <c r="V84" s="143">
        <f>V74+V83</f>
        <v>40</v>
      </c>
      <c r="W84" s="143">
        <f t="shared" ref="W84:AA85" si="63">W74+W83</f>
        <v>58</v>
      </c>
      <c r="X84" s="143">
        <f t="shared" si="63"/>
        <v>55</v>
      </c>
      <c r="Y84" s="143">
        <f t="shared" si="63"/>
        <v>57</v>
      </c>
      <c r="Z84" s="143">
        <f t="shared" si="63"/>
        <v>45</v>
      </c>
      <c r="AA84" s="143">
        <f t="shared" si="63"/>
        <v>68</v>
      </c>
      <c r="AB84" s="143">
        <f>AB74+AB83</f>
        <v>4</v>
      </c>
      <c r="AC84" s="143">
        <f t="shared" ref="AC84:AF84" si="64">AC74+AC83</f>
        <v>33</v>
      </c>
      <c r="AD84" s="143">
        <f t="shared" si="64"/>
        <v>58</v>
      </c>
      <c r="AE84" s="143">
        <f t="shared" si="64"/>
        <v>58</v>
      </c>
      <c r="AF84" s="143">
        <f t="shared" si="64"/>
        <v>51</v>
      </c>
      <c r="AG84" s="143"/>
      <c r="AH84" s="143">
        <f>SUM(C84:AG84)</f>
        <v>1374</v>
      </c>
      <c r="AI84" s="143">
        <f>AH84/30</f>
        <v>45.8</v>
      </c>
      <c r="AJ84" s="150">
        <f>AH84/129</f>
        <v>10.651162790697674</v>
      </c>
    </row>
    <row r="85" spans="2:36">
      <c r="C85" s="143">
        <f>C84</f>
        <v>47</v>
      </c>
      <c r="D85" s="143">
        <f>D84</f>
        <v>62</v>
      </c>
      <c r="G85" s="143">
        <f>E84+F84+G84</f>
        <v>105</v>
      </c>
      <c r="H85" s="143">
        <f>H84</f>
        <v>48</v>
      </c>
      <c r="I85" s="143">
        <f>I84</f>
        <v>52</v>
      </c>
      <c r="J85" s="143">
        <f>J84</f>
        <v>57</v>
      </c>
      <c r="K85" s="143">
        <f>K84</f>
        <v>46</v>
      </c>
      <c r="L85" s="143"/>
      <c r="M85" s="143"/>
      <c r="N85" s="143">
        <f>L84+M84+N84</f>
        <v>100</v>
      </c>
      <c r="O85" s="143">
        <f>O75+O84</f>
        <v>46</v>
      </c>
      <c r="P85" s="143">
        <f t="shared" ref="P85" si="65">P75+P84</f>
        <v>77</v>
      </c>
      <c r="Q85" s="143">
        <f t="shared" ref="Q85" si="66">Q75+Q84</f>
        <v>72</v>
      </c>
      <c r="R85" s="143">
        <f t="shared" ref="R85" si="67">R75+R84</f>
        <v>63</v>
      </c>
      <c r="S85" s="143"/>
      <c r="T85" s="143"/>
      <c r="U85" s="143">
        <f>S84+T84+U84</f>
        <v>128</v>
      </c>
      <c r="V85" s="143">
        <f>V75+V84</f>
        <v>54</v>
      </c>
      <c r="W85" s="143">
        <f>W75+W84</f>
        <v>72</v>
      </c>
      <c r="X85" s="143">
        <f t="shared" si="63"/>
        <v>69</v>
      </c>
      <c r="Y85" s="143">
        <f t="shared" si="63"/>
        <v>71</v>
      </c>
      <c r="Z85" s="143">
        <f t="shared" si="63"/>
        <v>59</v>
      </c>
      <c r="AB85" s="143">
        <f>Z84+AA84+AB84</f>
        <v>117</v>
      </c>
      <c r="AC85" s="143">
        <f t="shared" ref="AC85:AF85" si="68">AA84+AB84+AC84</f>
        <v>105</v>
      </c>
      <c r="AD85" s="143">
        <f t="shared" si="68"/>
        <v>95</v>
      </c>
      <c r="AE85" s="143">
        <f t="shared" si="68"/>
        <v>149</v>
      </c>
      <c r="AF85" s="143">
        <f t="shared" si="68"/>
        <v>167</v>
      </c>
      <c r="AG85" s="143"/>
      <c r="AH85" s="143">
        <f>SUM(C85:AG85)</f>
        <v>1861</v>
      </c>
      <c r="AI85" s="143">
        <f>AH85/30</f>
        <v>62.033333333333331</v>
      </c>
      <c r="AJ85" s="150">
        <f>AH85/129</f>
        <v>14.426356589147288</v>
      </c>
    </row>
    <row r="86" spans="2:36">
      <c r="G86" s="143">
        <f>C85+D85+G85</f>
        <v>214</v>
      </c>
      <c r="N86" s="150">
        <f>H85+I85+J85+K85+N85</f>
        <v>303</v>
      </c>
      <c r="U86" s="143">
        <f>O85+P85+Q85+R85+U85</f>
        <v>386</v>
      </c>
      <c r="AB86" s="143">
        <f>V85+W85+X85+Y85+AB85</f>
        <v>383</v>
      </c>
      <c r="AC86" s="143"/>
      <c r="AD86" s="143"/>
      <c r="AE86" s="143"/>
      <c r="AF86" s="143"/>
      <c r="AG86" s="143"/>
    </row>
    <row r="88" spans="2:36">
      <c r="B88" t="s">
        <v>60</v>
      </c>
    </row>
    <row r="89" spans="2:36">
      <c r="B89" t="s">
        <v>42</v>
      </c>
      <c r="V89" s="142">
        <v>4</v>
      </c>
    </row>
    <row r="90" spans="2:36">
      <c r="B90" t="s">
        <v>43</v>
      </c>
      <c r="V90" s="142">
        <v>0</v>
      </c>
      <c r="W90">
        <v>0</v>
      </c>
      <c r="X90">
        <v>0</v>
      </c>
    </row>
    <row r="91" spans="2:36">
      <c r="B91" t="s">
        <v>44</v>
      </c>
      <c r="V91" s="142">
        <v>0</v>
      </c>
      <c r="X91">
        <v>0</v>
      </c>
    </row>
    <row r="92" spans="2:36">
      <c r="B92" t="s">
        <v>45</v>
      </c>
      <c r="V92" s="142">
        <v>3</v>
      </c>
      <c r="X92">
        <v>4</v>
      </c>
    </row>
    <row r="93" spans="2:36">
      <c r="B93" t="s">
        <v>46</v>
      </c>
      <c r="V93" s="142">
        <v>4</v>
      </c>
      <c r="W93">
        <v>3</v>
      </c>
      <c r="X93">
        <v>3</v>
      </c>
    </row>
    <row r="94" spans="2:36">
      <c r="B94" t="s">
        <v>66</v>
      </c>
      <c r="V94" s="142">
        <v>0</v>
      </c>
      <c r="X94">
        <v>0</v>
      </c>
    </row>
    <row r="95" spans="2:36">
      <c r="V95" s="143">
        <f>SUM(V89:V94)</f>
        <v>11</v>
      </c>
    </row>
    <row r="97" spans="2:2">
      <c r="B97" t="s">
        <v>61</v>
      </c>
    </row>
    <row r="98" spans="2:2">
      <c r="B98" t="s">
        <v>42</v>
      </c>
    </row>
    <row r="99" spans="2:2">
      <c r="B99" t="s">
        <v>43</v>
      </c>
    </row>
    <row r="100" spans="2:2">
      <c r="B100" t="s">
        <v>44</v>
      </c>
    </row>
    <row r="101" spans="2:2">
      <c r="B101" t="s">
        <v>45</v>
      </c>
    </row>
    <row r="102" spans="2:2">
      <c r="B102" t="s">
        <v>46</v>
      </c>
    </row>
    <row r="103" spans="2:2">
      <c r="B103" t="s">
        <v>66</v>
      </c>
    </row>
    <row r="105" spans="2:2">
      <c r="B105" t="s">
        <v>62</v>
      </c>
    </row>
    <row r="106" spans="2:2">
      <c r="B106" t="s">
        <v>42</v>
      </c>
    </row>
    <row r="107" spans="2:2">
      <c r="B107" t="s">
        <v>43</v>
      </c>
    </row>
    <row r="108" spans="2:2">
      <c r="B108" t="s">
        <v>44</v>
      </c>
    </row>
    <row r="109" spans="2:2">
      <c r="B109" t="s">
        <v>45</v>
      </c>
    </row>
    <row r="110" spans="2:2">
      <c r="B110" t="s">
        <v>46</v>
      </c>
    </row>
    <row r="111" spans="2:2">
      <c r="B111" t="s">
        <v>66</v>
      </c>
    </row>
  </sheetData>
  <phoneticPr fontId="20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D270-9001-402D-A983-21062EB722B2}">
  <sheetPr codeName="Planilha3"/>
  <dimension ref="A1:AF30"/>
  <sheetViews>
    <sheetView topLeftCell="A11" workbookViewId="0">
      <selection activeCell="D31" sqref="D31"/>
    </sheetView>
  </sheetViews>
  <sheetFormatPr defaultRowHeight="14.4"/>
  <cols>
    <col min="1" max="1" width="24.109375" customWidth="1"/>
    <col min="2" max="7" width="5.44140625" bestFit="1" customWidth="1"/>
    <col min="8" max="8" width="5.6640625" bestFit="1" customWidth="1"/>
    <col min="9" max="14" width="5.44140625" bestFit="1" customWidth="1"/>
    <col min="15" max="15" width="5.6640625" bestFit="1" customWidth="1"/>
    <col min="16" max="21" width="5.44140625" bestFit="1" customWidth="1"/>
    <col min="22" max="22" width="5.6640625" bestFit="1" customWidth="1"/>
    <col min="23" max="28" width="5.44140625" bestFit="1" customWidth="1"/>
    <col min="29" max="29" width="5.6640625" bestFit="1" customWidth="1"/>
    <col min="30" max="31" width="5.44140625" bestFit="1" customWidth="1"/>
    <col min="32" max="32" width="4.6640625" bestFit="1" customWidth="1"/>
  </cols>
  <sheetData>
    <row r="1" spans="1:32" ht="30.6" customHeight="1">
      <c r="B1" s="3">
        <v>46174</v>
      </c>
      <c r="C1" s="3">
        <v>46175</v>
      </c>
      <c r="D1" s="3">
        <v>46176</v>
      </c>
      <c r="E1" s="3">
        <v>46177</v>
      </c>
      <c r="F1" s="3">
        <v>46178</v>
      </c>
      <c r="G1" s="3">
        <v>46179</v>
      </c>
      <c r="H1" s="3">
        <v>46180</v>
      </c>
      <c r="I1" s="3">
        <v>46181</v>
      </c>
      <c r="J1" s="3">
        <v>46182</v>
      </c>
      <c r="K1" s="3">
        <v>46183</v>
      </c>
      <c r="L1" s="3">
        <v>46184</v>
      </c>
      <c r="M1" s="3">
        <v>46185</v>
      </c>
      <c r="N1" s="3">
        <v>46186</v>
      </c>
      <c r="O1" s="3">
        <v>46187</v>
      </c>
      <c r="P1" s="3">
        <v>46188</v>
      </c>
      <c r="Q1" s="3">
        <v>46189</v>
      </c>
      <c r="R1" s="3">
        <v>46190</v>
      </c>
      <c r="S1" s="3">
        <v>46191</v>
      </c>
      <c r="T1" s="3">
        <v>46192</v>
      </c>
      <c r="U1" s="3">
        <v>46193</v>
      </c>
      <c r="V1" s="3">
        <v>46194</v>
      </c>
      <c r="W1" s="3">
        <v>46195</v>
      </c>
      <c r="X1" s="3">
        <v>46196</v>
      </c>
      <c r="Y1" s="3">
        <v>46197</v>
      </c>
      <c r="Z1" s="3">
        <v>46198</v>
      </c>
      <c r="AA1" s="3">
        <v>46199</v>
      </c>
      <c r="AB1" s="3">
        <v>46200</v>
      </c>
      <c r="AC1" s="3">
        <v>46201</v>
      </c>
      <c r="AD1" s="3">
        <v>46202</v>
      </c>
      <c r="AE1" s="3">
        <v>46203</v>
      </c>
      <c r="AF1" s="10" t="s">
        <v>4</v>
      </c>
    </row>
    <row r="2" spans="1:32">
      <c r="A2" s="14" t="s">
        <v>0</v>
      </c>
      <c r="B2" s="2">
        <v>0</v>
      </c>
      <c r="C2" s="2">
        <v>3</v>
      </c>
      <c r="D2" s="2">
        <v>6</v>
      </c>
      <c r="E2" s="2">
        <v>3</v>
      </c>
      <c r="F2" s="2">
        <v>3</v>
      </c>
      <c r="G2" s="2">
        <v>1</v>
      </c>
      <c r="H2" s="2">
        <v>6</v>
      </c>
      <c r="I2" s="2">
        <v>0</v>
      </c>
      <c r="J2" s="2">
        <v>3</v>
      </c>
      <c r="K2" s="2">
        <v>5</v>
      </c>
      <c r="L2" s="2">
        <v>4</v>
      </c>
      <c r="M2" s="2">
        <v>2</v>
      </c>
      <c r="N2" s="2">
        <v>2</v>
      </c>
      <c r="O2" s="2">
        <v>4</v>
      </c>
      <c r="P2" s="2">
        <v>0</v>
      </c>
      <c r="Q2" s="2">
        <v>4</v>
      </c>
      <c r="R2" s="2">
        <v>2</v>
      </c>
      <c r="S2" s="2">
        <v>5</v>
      </c>
      <c r="T2" s="2">
        <v>3</v>
      </c>
      <c r="U2" s="2">
        <v>3</v>
      </c>
      <c r="V2" s="2">
        <v>0</v>
      </c>
      <c r="W2" s="2">
        <v>0</v>
      </c>
      <c r="X2" s="2">
        <v>5</v>
      </c>
      <c r="Y2" s="2">
        <v>1</v>
      </c>
      <c r="Z2" s="2">
        <v>5</v>
      </c>
      <c r="AA2" s="2">
        <v>2</v>
      </c>
      <c r="AB2" s="2">
        <v>3</v>
      </c>
      <c r="AC2" s="2">
        <v>5</v>
      </c>
      <c r="AD2" s="2">
        <v>0</v>
      </c>
      <c r="AE2" s="2">
        <v>1</v>
      </c>
      <c r="AF2" s="7">
        <f>SUM(B2:AE2)</f>
        <v>81</v>
      </c>
    </row>
    <row r="3" spans="1:32">
      <c r="A3" s="14" t="s">
        <v>1</v>
      </c>
      <c r="B3" s="2">
        <v>0</v>
      </c>
      <c r="C3" s="2">
        <v>11</v>
      </c>
      <c r="D3" s="2">
        <v>9</v>
      </c>
      <c r="E3" s="2">
        <v>9</v>
      </c>
      <c r="F3" s="2">
        <v>12</v>
      </c>
      <c r="G3" s="2">
        <v>10</v>
      </c>
      <c r="H3" s="2">
        <v>3</v>
      </c>
      <c r="I3" s="2">
        <v>0</v>
      </c>
      <c r="J3" s="2">
        <v>11</v>
      </c>
      <c r="K3" s="2">
        <v>6</v>
      </c>
      <c r="L3" s="2">
        <v>7</v>
      </c>
      <c r="M3" s="2">
        <v>10</v>
      </c>
      <c r="N3" s="2">
        <v>7</v>
      </c>
      <c r="O3" s="2">
        <v>4</v>
      </c>
      <c r="P3" s="2">
        <v>0</v>
      </c>
      <c r="Q3" s="2">
        <v>5</v>
      </c>
      <c r="R3" s="2">
        <v>5</v>
      </c>
      <c r="S3" s="2">
        <v>6</v>
      </c>
      <c r="T3" s="2">
        <v>9</v>
      </c>
      <c r="U3" s="2">
        <v>6</v>
      </c>
      <c r="V3" s="2">
        <v>0</v>
      </c>
      <c r="W3" s="2">
        <v>0</v>
      </c>
      <c r="X3" s="2">
        <v>6</v>
      </c>
      <c r="Y3" s="2">
        <v>11</v>
      </c>
      <c r="Z3" s="2">
        <v>4</v>
      </c>
      <c r="AA3" s="2">
        <v>7</v>
      </c>
      <c r="AB3" s="2">
        <v>3</v>
      </c>
      <c r="AC3" s="2">
        <v>3</v>
      </c>
      <c r="AD3" s="2">
        <v>0</v>
      </c>
      <c r="AE3" s="2">
        <v>4</v>
      </c>
      <c r="AF3" s="7">
        <f>SUM(B3:AE3)</f>
        <v>168</v>
      </c>
    </row>
    <row r="4" spans="1:32">
      <c r="A4" s="14" t="s">
        <v>2</v>
      </c>
      <c r="B4" s="2">
        <v>0</v>
      </c>
      <c r="C4" s="2">
        <v>2</v>
      </c>
      <c r="D4" s="2">
        <v>0</v>
      </c>
      <c r="E4" s="2">
        <v>1</v>
      </c>
      <c r="F4" s="2">
        <v>0</v>
      </c>
      <c r="G4" s="2">
        <v>0</v>
      </c>
      <c r="H4" s="2">
        <v>2</v>
      </c>
      <c r="I4" s="2">
        <v>0</v>
      </c>
      <c r="J4" s="2">
        <v>1</v>
      </c>
      <c r="K4" s="2">
        <v>0</v>
      </c>
      <c r="L4" s="2">
        <v>2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1</v>
      </c>
      <c r="S4" s="2">
        <v>2</v>
      </c>
      <c r="T4" s="2">
        <v>2</v>
      </c>
      <c r="U4" s="2">
        <v>2</v>
      </c>
      <c r="V4" s="2">
        <v>0</v>
      </c>
      <c r="W4" s="2">
        <v>0</v>
      </c>
      <c r="X4" s="2">
        <v>7</v>
      </c>
      <c r="Y4" s="2">
        <v>2</v>
      </c>
      <c r="Z4" s="2">
        <v>0</v>
      </c>
      <c r="AA4" s="2">
        <v>2</v>
      </c>
      <c r="AB4" s="2">
        <v>1</v>
      </c>
      <c r="AC4" s="2">
        <v>1</v>
      </c>
      <c r="AD4" s="2">
        <v>0</v>
      </c>
      <c r="AE4" s="2">
        <v>3</v>
      </c>
      <c r="AF4" s="7">
        <f>SUM(B4:AE4)</f>
        <v>32</v>
      </c>
    </row>
    <row r="5" spans="1:32">
      <c r="A5" s="14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2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  <c r="AF5" s="7">
        <f>SUM(B5:AE5)</f>
        <v>6</v>
      </c>
    </row>
    <row r="6" spans="1:32">
      <c r="A6" s="15"/>
      <c r="B6" s="160">
        <f>SUM(B2:B5)</f>
        <v>0</v>
      </c>
      <c r="C6" s="160">
        <f>SUM(C2:C5)</f>
        <v>16</v>
      </c>
      <c r="D6" s="160">
        <f t="shared" ref="D6:AF6" si="0">SUM(D2:D5)</f>
        <v>15</v>
      </c>
      <c r="E6" s="160">
        <f t="shared" si="0"/>
        <v>13</v>
      </c>
      <c r="F6" s="160">
        <f t="shared" si="0"/>
        <v>15</v>
      </c>
      <c r="G6" s="160">
        <f t="shared" si="0"/>
        <v>11</v>
      </c>
      <c r="H6" s="160">
        <f t="shared" si="0"/>
        <v>11</v>
      </c>
      <c r="I6" s="160">
        <f t="shared" si="0"/>
        <v>0</v>
      </c>
      <c r="J6" s="160">
        <f t="shared" si="0"/>
        <v>15</v>
      </c>
      <c r="K6" s="160">
        <f t="shared" si="0"/>
        <v>12</v>
      </c>
      <c r="L6" s="160">
        <f t="shared" si="0"/>
        <v>13</v>
      </c>
      <c r="M6" s="160">
        <f t="shared" si="0"/>
        <v>13</v>
      </c>
      <c r="N6" s="160">
        <f t="shared" si="0"/>
        <v>10</v>
      </c>
      <c r="O6" s="160">
        <f t="shared" si="0"/>
        <v>8</v>
      </c>
      <c r="P6" s="160">
        <f t="shared" si="0"/>
        <v>0</v>
      </c>
      <c r="Q6" s="160">
        <f t="shared" si="0"/>
        <v>9</v>
      </c>
      <c r="R6" s="160">
        <f t="shared" si="0"/>
        <v>8</v>
      </c>
      <c r="S6" s="160">
        <f t="shared" si="0"/>
        <v>13</v>
      </c>
      <c r="T6" s="160">
        <f t="shared" si="0"/>
        <v>14</v>
      </c>
      <c r="U6" s="160">
        <f t="shared" si="0"/>
        <v>11</v>
      </c>
      <c r="V6" s="160">
        <f t="shared" si="0"/>
        <v>0</v>
      </c>
      <c r="W6" s="160">
        <f t="shared" si="0"/>
        <v>0</v>
      </c>
      <c r="X6" s="160">
        <f t="shared" si="0"/>
        <v>18</v>
      </c>
      <c r="Y6" s="160">
        <f t="shared" si="0"/>
        <v>16</v>
      </c>
      <c r="Z6" s="160">
        <f t="shared" si="0"/>
        <v>10</v>
      </c>
      <c r="AA6" s="160">
        <f t="shared" si="0"/>
        <v>11</v>
      </c>
      <c r="AB6" s="160">
        <f t="shared" si="0"/>
        <v>7</v>
      </c>
      <c r="AC6" s="160">
        <f t="shared" si="0"/>
        <v>9</v>
      </c>
      <c r="AD6" s="160">
        <f t="shared" si="0"/>
        <v>0</v>
      </c>
      <c r="AE6" s="160">
        <f t="shared" si="0"/>
        <v>9</v>
      </c>
      <c r="AF6" s="160">
        <f t="shared" si="0"/>
        <v>287</v>
      </c>
    </row>
    <row r="7" spans="1:32">
      <c r="A7" s="14" t="s">
        <v>0</v>
      </c>
      <c r="B7" s="5" t="e">
        <f t="shared" ref="B7:AF7" si="1">B2/B$6</f>
        <v>#DIV/0!</v>
      </c>
      <c r="C7" s="5">
        <f t="shared" si="1"/>
        <v>0.1875</v>
      </c>
      <c r="D7" s="5">
        <f t="shared" si="1"/>
        <v>0.4</v>
      </c>
      <c r="E7" s="5">
        <f t="shared" si="1"/>
        <v>0.23076923076923078</v>
      </c>
      <c r="F7" s="5">
        <f t="shared" si="1"/>
        <v>0.2</v>
      </c>
      <c r="G7" s="5">
        <f t="shared" si="1"/>
        <v>9.0909090909090912E-2</v>
      </c>
      <c r="H7" s="5">
        <f t="shared" si="1"/>
        <v>0.54545454545454541</v>
      </c>
      <c r="I7" s="5" t="e">
        <f t="shared" si="1"/>
        <v>#DIV/0!</v>
      </c>
      <c r="J7" s="5">
        <f t="shared" si="1"/>
        <v>0.2</v>
      </c>
      <c r="K7" s="5">
        <f t="shared" si="1"/>
        <v>0.41666666666666669</v>
      </c>
      <c r="L7" s="5">
        <f t="shared" si="1"/>
        <v>0.30769230769230771</v>
      </c>
      <c r="M7" s="5">
        <f t="shared" si="1"/>
        <v>0.15384615384615385</v>
      </c>
      <c r="N7" s="5">
        <f t="shared" si="1"/>
        <v>0.2</v>
      </c>
      <c r="O7" s="5">
        <f t="shared" si="1"/>
        <v>0.5</v>
      </c>
      <c r="P7" s="5" t="e">
        <f t="shared" si="1"/>
        <v>#DIV/0!</v>
      </c>
      <c r="Q7" s="5">
        <f t="shared" si="1"/>
        <v>0.44444444444444442</v>
      </c>
      <c r="R7" s="5">
        <f t="shared" si="1"/>
        <v>0.25</v>
      </c>
      <c r="S7" s="5">
        <f t="shared" si="1"/>
        <v>0.38461538461538464</v>
      </c>
      <c r="T7" s="5">
        <f t="shared" si="1"/>
        <v>0.21428571428571427</v>
      </c>
      <c r="U7" s="5">
        <f t="shared" si="1"/>
        <v>0.27272727272727271</v>
      </c>
      <c r="V7" s="5" t="e">
        <f t="shared" si="1"/>
        <v>#DIV/0!</v>
      </c>
      <c r="W7" s="5" t="e">
        <f t="shared" si="1"/>
        <v>#DIV/0!</v>
      </c>
      <c r="X7" s="5">
        <f t="shared" si="1"/>
        <v>0.27777777777777779</v>
      </c>
      <c r="Y7" s="5">
        <f t="shared" si="1"/>
        <v>6.25E-2</v>
      </c>
      <c r="Z7" s="5">
        <f t="shared" si="1"/>
        <v>0.5</v>
      </c>
      <c r="AA7" s="5">
        <f t="shared" si="1"/>
        <v>0.18181818181818182</v>
      </c>
      <c r="AB7" s="5">
        <f t="shared" si="1"/>
        <v>0.42857142857142855</v>
      </c>
      <c r="AC7" s="5">
        <f t="shared" si="1"/>
        <v>0.55555555555555558</v>
      </c>
      <c r="AD7" s="5" t="e">
        <f t="shared" si="1"/>
        <v>#DIV/0!</v>
      </c>
      <c r="AE7" s="5">
        <f t="shared" si="1"/>
        <v>0.1111111111111111</v>
      </c>
      <c r="AF7" s="8">
        <f t="shared" si="1"/>
        <v>0.28222996515679444</v>
      </c>
    </row>
    <row r="8" spans="1:32">
      <c r="A8" s="14" t="s">
        <v>1</v>
      </c>
      <c r="B8" s="5" t="e">
        <f>B3/B$6</f>
        <v>#DIV/0!</v>
      </c>
      <c r="C8" s="5">
        <f t="shared" ref="C8:AF10" si="2">C3/C$6</f>
        <v>0.6875</v>
      </c>
      <c r="D8" s="5">
        <f t="shared" si="2"/>
        <v>0.6</v>
      </c>
      <c r="E8" s="5">
        <f t="shared" si="2"/>
        <v>0.69230769230769229</v>
      </c>
      <c r="F8" s="5">
        <f t="shared" si="2"/>
        <v>0.8</v>
      </c>
      <c r="G8" s="5">
        <f t="shared" si="2"/>
        <v>0.90909090909090906</v>
      </c>
      <c r="H8" s="5">
        <f t="shared" si="2"/>
        <v>0.27272727272727271</v>
      </c>
      <c r="I8" s="5" t="e">
        <f t="shared" si="2"/>
        <v>#DIV/0!</v>
      </c>
      <c r="J8" s="5">
        <f t="shared" si="2"/>
        <v>0.73333333333333328</v>
      </c>
      <c r="K8" s="5">
        <f t="shared" si="2"/>
        <v>0.5</v>
      </c>
      <c r="L8" s="5">
        <f t="shared" si="2"/>
        <v>0.53846153846153844</v>
      </c>
      <c r="M8" s="5">
        <f t="shared" si="2"/>
        <v>0.76923076923076927</v>
      </c>
      <c r="N8" s="5">
        <f t="shared" si="2"/>
        <v>0.7</v>
      </c>
      <c r="O8" s="5">
        <f t="shared" si="2"/>
        <v>0.5</v>
      </c>
      <c r="P8" s="5" t="e">
        <f t="shared" si="2"/>
        <v>#DIV/0!</v>
      </c>
      <c r="Q8" s="5">
        <f t="shared" si="2"/>
        <v>0.55555555555555558</v>
      </c>
      <c r="R8" s="5">
        <f t="shared" si="2"/>
        <v>0.625</v>
      </c>
      <c r="S8" s="5">
        <f t="shared" si="2"/>
        <v>0.46153846153846156</v>
      </c>
      <c r="T8" s="5">
        <f t="shared" si="2"/>
        <v>0.6428571428571429</v>
      </c>
      <c r="U8" s="5">
        <f t="shared" si="2"/>
        <v>0.54545454545454541</v>
      </c>
      <c r="V8" s="5" t="e">
        <f t="shared" si="2"/>
        <v>#DIV/0!</v>
      </c>
      <c r="W8" s="5" t="e">
        <f t="shared" si="2"/>
        <v>#DIV/0!</v>
      </c>
      <c r="X8" s="5">
        <f t="shared" si="2"/>
        <v>0.33333333333333331</v>
      </c>
      <c r="Y8" s="5">
        <f t="shared" si="2"/>
        <v>0.6875</v>
      </c>
      <c r="Z8" s="5">
        <f t="shared" si="2"/>
        <v>0.4</v>
      </c>
      <c r="AA8" s="5">
        <f t="shared" si="2"/>
        <v>0.63636363636363635</v>
      </c>
      <c r="AB8" s="5">
        <f t="shared" si="2"/>
        <v>0.42857142857142855</v>
      </c>
      <c r="AC8" s="5">
        <f t="shared" si="2"/>
        <v>0.33333333333333331</v>
      </c>
      <c r="AD8" s="5" t="e">
        <f t="shared" si="2"/>
        <v>#DIV/0!</v>
      </c>
      <c r="AE8" s="5">
        <f t="shared" si="2"/>
        <v>0.44444444444444442</v>
      </c>
      <c r="AF8" s="8">
        <f t="shared" si="2"/>
        <v>0.58536585365853655</v>
      </c>
    </row>
    <row r="9" spans="1:32">
      <c r="A9" s="14" t="s">
        <v>2</v>
      </c>
      <c r="B9" s="5" t="e">
        <f>B4/B$6</f>
        <v>#DIV/0!</v>
      </c>
      <c r="C9" s="5">
        <f t="shared" si="2"/>
        <v>0.125</v>
      </c>
      <c r="D9" s="5">
        <f t="shared" si="2"/>
        <v>0</v>
      </c>
      <c r="E9" s="5">
        <f t="shared" si="2"/>
        <v>7.6923076923076927E-2</v>
      </c>
      <c r="F9" s="5">
        <f t="shared" si="2"/>
        <v>0</v>
      </c>
      <c r="G9" s="5">
        <f t="shared" si="2"/>
        <v>0</v>
      </c>
      <c r="H9" s="5">
        <f t="shared" si="2"/>
        <v>0.18181818181818182</v>
      </c>
      <c r="I9" s="5" t="e">
        <f t="shared" si="2"/>
        <v>#DIV/0!</v>
      </c>
      <c r="J9" s="5">
        <f t="shared" si="2"/>
        <v>6.6666666666666666E-2</v>
      </c>
      <c r="K9" s="5">
        <f t="shared" si="2"/>
        <v>0</v>
      </c>
      <c r="L9" s="5">
        <f t="shared" si="2"/>
        <v>0.15384615384615385</v>
      </c>
      <c r="M9" s="5">
        <f t="shared" si="2"/>
        <v>0</v>
      </c>
      <c r="N9" s="5">
        <f t="shared" si="2"/>
        <v>0.1</v>
      </c>
      <c r="O9" s="5">
        <f t="shared" si="2"/>
        <v>0</v>
      </c>
      <c r="P9" s="5" t="e">
        <f t="shared" si="2"/>
        <v>#DIV/0!</v>
      </c>
      <c r="Q9" s="5">
        <f t="shared" si="2"/>
        <v>0</v>
      </c>
      <c r="R9" s="5">
        <f t="shared" si="2"/>
        <v>0.125</v>
      </c>
      <c r="S9" s="5">
        <f t="shared" si="2"/>
        <v>0.15384615384615385</v>
      </c>
      <c r="T9" s="5">
        <f t="shared" si="2"/>
        <v>0.14285714285714285</v>
      </c>
      <c r="U9" s="5">
        <f t="shared" si="2"/>
        <v>0.18181818181818182</v>
      </c>
      <c r="V9" s="5" t="e">
        <f t="shared" si="2"/>
        <v>#DIV/0!</v>
      </c>
      <c r="W9" s="5" t="e">
        <f t="shared" si="2"/>
        <v>#DIV/0!</v>
      </c>
      <c r="X9" s="5">
        <f t="shared" si="2"/>
        <v>0.3888888888888889</v>
      </c>
      <c r="Y9" s="5">
        <f t="shared" si="2"/>
        <v>0.125</v>
      </c>
      <c r="Z9" s="5">
        <f t="shared" si="2"/>
        <v>0</v>
      </c>
      <c r="AA9" s="5">
        <f t="shared" si="2"/>
        <v>0.18181818181818182</v>
      </c>
      <c r="AB9" s="5">
        <f t="shared" si="2"/>
        <v>0.14285714285714285</v>
      </c>
      <c r="AC9" s="5">
        <f t="shared" si="2"/>
        <v>0.1111111111111111</v>
      </c>
      <c r="AD9" s="5" t="e">
        <f t="shared" si="2"/>
        <v>#DIV/0!</v>
      </c>
      <c r="AE9" s="5">
        <f t="shared" si="2"/>
        <v>0.33333333333333331</v>
      </c>
      <c r="AF9" s="8">
        <f t="shared" si="2"/>
        <v>0.11149825783972125</v>
      </c>
    </row>
    <row r="10" spans="1:32">
      <c r="A10" s="14" t="s">
        <v>3</v>
      </c>
      <c r="B10" s="5" t="e">
        <f>B5/B$6</f>
        <v>#DIV/0!</v>
      </c>
      <c r="C10" s="5">
        <f t="shared" si="2"/>
        <v>0</v>
      </c>
      <c r="D10" s="5">
        <f t="shared" si="2"/>
        <v>0</v>
      </c>
      <c r="E10" s="5">
        <f t="shared" si="2"/>
        <v>0</v>
      </c>
      <c r="F10" s="5">
        <f t="shared" si="2"/>
        <v>0</v>
      </c>
      <c r="G10" s="5">
        <f t="shared" si="2"/>
        <v>0</v>
      </c>
      <c r="H10" s="5">
        <f t="shared" si="2"/>
        <v>0</v>
      </c>
      <c r="I10" s="5" t="e">
        <f t="shared" si="2"/>
        <v>#DIV/0!</v>
      </c>
      <c r="J10" s="5">
        <f t="shared" si="2"/>
        <v>0</v>
      </c>
      <c r="K10" s="5">
        <f t="shared" si="2"/>
        <v>8.3333333333333329E-2</v>
      </c>
      <c r="L10" s="5">
        <f t="shared" si="2"/>
        <v>0</v>
      </c>
      <c r="M10" s="5">
        <f t="shared" si="2"/>
        <v>7.6923076923076927E-2</v>
      </c>
      <c r="N10" s="5">
        <f t="shared" si="2"/>
        <v>0</v>
      </c>
      <c r="O10" s="5">
        <f t="shared" si="2"/>
        <v>0</v>
      </c>
      <c r="P10" s="5" t="e">
        <f t="shared" si="2"/>
        <v>#DIV/0!</v>
      </c>
      <c r="Q10" s="5">
        <f t="shared" si="2"/>
        <v>0</v>
      </c>
      <c r="R10" s="5">
        <f t="shared" si="2"/>
        <v>0</v>
      </c>
      <c r="S10" s="5">
        <f t="shared" si="2"/>
        <v>0</v>
      </c>
      <c r="T10" s="5">
        <f t="shared" si="2"/>
        <v>0</v>
      </c>
      <c r="U10" s="5">
        <f t="shared" si="2"/>
        <v>0</v>
      </c>
      <c r="V10" s="5" t="e">
        <f t="shared" si="2"/>
        <v>#DIV/0!</v>
      </c>
      <c r="W10" s="5" t="e">
        <f t="shared" si="2"/>
        <v>#DIV/0!</v>
      </c>
      <c r="X10" s="5">
        <f t="shared" si="2"/>
        <v>0</v>
      </c>
      <c r="Y10" s="5">
        <f t="shared" si="2"/>
        <v>0.125</v>
      </c>
      <c r="Z10" s="5">
        <f t="shared" si="2"/>
        <v>0.1</v>
      </c>
      <c r="AA10" s="5">
        <f t="shared" si="2"/>
        <v>0</v>
      </c>
      <c r="AB10" s="5">
        <f t="shared" si="2"/>
        <v>0</v>
      </c>
      <c r="AC10" s="5">
        <f t="shared" si="2"/>
        <v>0</v>
      </c>
      <c r="AD10" s="5" t="e">
        <f t="shared" si="2"/>
        <v>#DIV/0!</v>
      </c>
      <c r="AE10" s="5">
        <f t="shared" si="2"/>
        <v>0.1111111111111111</v>
      </c>
      <c r="AF10" s="8">
        <f t="shared" si="2"/>
        <v>2.0905923344947737E-2</v>
      </c>
    </row>
    <row r="11" spans="1:32">
      <c r="A11" s="16"/>
      <c r="B11" s="6" t="e">
        <f>SUM(B7:B10)</f>
        <v>#DIV/0!</v>
      </c>
      <c r="C11" s="6">
        <f t="shared" ref="C11:AF11" si="3">SUM(C7:C10)</f>
        <v>1</v>
      </c>
      <c r="D11" s="6">
        <f t="shared" si="3"/>
        <v>1</v>
      </c>
      <c r="E11" s="6">
        <f t="shared" si="3"/>
        <v>1</v>
      </c>
      <c r="F11" s="6">
        <f t="shared" si="3"/>
        <v>1</v>
      </c>
      <c r="G11" s="6">
        <f t="shared" si="3"/>
        <v>1</v>
      </c>
      <c r="H11" s="6">
        <f t="shared" si="3"/>
        <v>1</v>
      </c>
      <c r="I11" s="6" t="e">
        <f t="shared" si="3"/>
        <v>#DIV/0!</v>
      </c>
      <c r="J11" s="6">
        <f t="shared" si="3"/>
        <v>1</v>
      </c>
      <c r="K11" s="6">
        <f t="shared" si="3"/>
        <v>1</v>
      </c>
      <c r="L11" s="6">
        <f t="shared" si="3"/>
        <v>1</v>
      </c>
      <c r="M11" s="6">
        <f t="shared" si="3"/>
        <v>1</v>
      </c>
      <c r="N11" s="6">
        <f t="shared" si="3"/>
        <v>0.99999999999999989</v>
      </c>
      <c r="O11" s="6">
        <f t="shared" si="3"/>
        <v>1</v>
      </c>
      <c r="P11" s="6" t="e">
        <f t="shared" si="3"/>
        <v>#DIV/0!</v>
      </c>
      <c r="Q11" s="6">
        <f t="shared" si="3"/>
        <v>1</v>
      </c>
      <c r="R11" s="6">
        <f t="shared" si="3"/>
        <v>1</v>
      </c>
      <c r="S11" s="6">
        <f t="shared" si="3"/>
        <v>1</v>
      </c>
      <c r="T11" s="6">
        <f t="shared" si="3"/>
        <v>1</v>
      </c>
      <c r="U11" s="6">
        <f t="shared" si="3"/>
        <v>1</v>
      </c>
      <c r="V11" s="6" t="e">
        <f t="shared" si="3"/>
        <v>#DIV/0!</v>
      </c>
      <c r="W11" s="6" t="e">
        <f t="shared" si="3"/>
        <v>#DIV/0!</v>
      </c>
      <c r="X11" s="6">
        <f t="shared" si="3"/>
        <v>1</v>
      </c>
      <c r="Y11" s="6">
        <f t="shared" si="3"/>
        <v>1</v>
      </c>
      <c r="Z11" s="6">
        <f t="shared" si="3"/>
        <v>1</v>
      </c>
      <c r="AA11" s="6">
        <f t="shared" si="3"/>
        <v>1</v>
      </c>
      <c r="AB11" s="6">
        <f t="shared" si="3"/>
        <v>1</v>
      </c>
      <c r="AC11" s="6">
        <f t="shared" si="3"/>
        <v>1</v>
      </c>
      <c r="AD11" s="6" t="e">
        <f t="shared" si="3"/>
        <v>#DIV/0!</v>
      </c>
      <c r="AE11" s="6">
        <f t="shared" si="3"/>
        <v>1</v>
      </c>
      <c r="AF11" s="9">
        <f t="shared" si="3"/>
        <v>1</v>
      </c>
    </row>
    <row r="12" spans="1:32">
      <c r="A12" s="14" t="s">
        <v>0</v>
      </c>
      <c r="B12" s="18">
        <v>0</v>
      </c>
      <c r="C12" s="4">
        <f>B12+C2</f>
        <v>3</v>
      </c>
      <c r="D12" s="4">
        <f>C12+D2</f>
        <v>9</v>
      </c>
      <c r="E12" s="4">
        <f>D12+E2</f>
        <v>12</v>
      </c>
      <c r="F12" s="4">
        <f t="shared" ref="F12:AE12" si="4">E12+F2</f>
        <v>15</v>
      </c>
      <c r="G12" s="4">
        <f t="shared" si="4"/>
        <v>16</v>
      </c>
      <c r="H12" s="4">
        <f t="shared" si="4"/>
        <v>22</v>
      </c>
      <c r="I12" s="4">
        <f t="shared" si="4"/>
        <v>22</v>
      </c>
      <c r="J12" s="4">
        <f t="shared" si="4"/>
        <v>25</v>
      </c>
      <c r="K12" s="4">
        <f t="shared" si="4"/>
        <v>30</v>
      </c>
      <c r="L12" s="4">
        <f t="shared" si="4"/>
        <v>34</v>
      </c>
      <c r="M12" s="4">
        <f t="shared" si="4"/>
        <v>36</v>
      </c>
      <c r="N12" s="4">
        <f t="shared" si="4"/>
        <v>38</v>
      </c>
      <c r="O12" s="4">
        <f t="shared" si="4"/>
        <v>42</v>
      </c>
      <c r="P12" s="4">
        <f t="shared" si="4"/>
        <v>42</v>
      </c>
      <c r="Q12" s="4">
        <f t="shared" si="4"/>
        <v>46</v>
      </c>
      <c r="R12" s="4">
        <f t="shared" si="4"/>
        <v>48</v>
      </c>
      <c r="S12" s="4">
        <f t="shared" si="4"/>
        <v>53</v>
      </c>
      <c r="T12" s="4">
        <f t="shared" si="4"/>
        <v>56</v>
      </c>
      <c r="U12" s="4">
        <f t="shared" si="4"/>
        <v>59</v>
      </c>
      <c r="V12" s="4">
        <f t="shared" si="4"/>
        <v>59</v>
      </c>
      <c r="W12" s="4">
        <f t="shared" si="4"/>
        <v>59</v>
      </c>
      <c r="X12" s="4">
        <f t="shared" si="4"/>
        <v>64</v>
      </c>
      <c r="Y12" s="4">
        <f t="shared" si="4"/>
        <v>65</v>
      </c>
      <c r="Z12" s="4">
        <f t="shared" si="4"/>
        <v>70</v>
      </c>
      <c r="AA12" s="4">
        <f t="shared" si="4"/>
        <v>72</v>
      </c>
      <c r="AB12" s="4">
        <f t="shared" si="4"/>
        <v>75</v>
      </c>
      <c r="AC12" s="4">
        <f t="shared" si="4"/>
        <v>80</v>
      </c>
      <c r="AD12" s="4">
        <f t="shared" si="4"/>
        <v>80</v>
      </c>
      <c r="AE12" s="4">
        <f t="shared" si="4"/>
        <v>81</v>
      </c>
    </row>
    <row r="13" spans="1:32">
      <c r="A13" s="14" t="s">
        <v>1</v>
      </c>
      <c r="B13" s="18">
        <v>0</v>
      </c>
      <c r="C13" s="4">
        <f>B13+C3</f>
        <v>11</v>
      </c>
      <c r="D13" s="4">
        <f t="shared" ref="D13:AE15" si="5">C13+D3</f>
        <v>20</v>
      </c>
      <c r="E13" s="4">
        <f t="shared" si="5"/>
        <v>29</v>
      </c>
      <c r="F13" s="4">
        <f t="shared" si="5"/>
        <v>41</v>
      </c>
      <c r="G13" s="4">
        <f t="shared" si="5"/>
        <v>51</v>
      </c>
      <c r="H13" s="4">
        <f t="shared" si="5"/>
        <v>54</v>
      </c>
      <c r="I13" s="4">
        <f t="shared" si="5"/>
        <v>54</v>
      </c>
      <c r="J13" s="4">
        <f t="shared" si="5"/>
        <v>65</v>
      </c>
      <c r="K13" s="4">
        <f t="shared" si="5"/>
        <v>71</v>
      </c>
      <c r="L13" s="4">
        <f t="shared" si="5"/>
        <v>78</v>
      </c>
      <c r="M13" s="4">
        <f t="shared" si="5"/>
        <v>88</v>
      </c>
      <c r="N13" s="4">
        <f t="shared" si="5"/>
        <v>95</v>
      </c>
      <c r="O13" s="4">
        <f t="shared" si="5"/>
        <v>99</v>
      </c>
      <c r="P13" s="4">
        <f t="shared" si="5"/>
        <v>99</v>
      </c>
      <c r="Q13" s="4">
        <f t="shared" si="5"/>
        <v>104</v>
      </c>
      <c r="R13" s="4">
        <f t="shared" si="5"/>
        <v>109</v>
      </c>
      <c r="S13" s="4">
        <f t="shared" si="5"/>
        <v>115</v>
      </c>
      <c r="T13" s="4">
        <f t="shared" si="5"/>
        <v>124</v>
      </c>
      <c r="U13" s="4">
        <f t="shared" si="5"/>
        <v>130</v>
      </c>
      <c r="V13" s="4">
        <f t="shared" si="5"/>
        <v>130</v>
      </c>
      <c r="W13" s="4">
        <f t="shared" si="5"/>
        <v>130</v>
      </c>
      <c r="X13" s="4">
        <f t="shared" si="5"/>
        <v>136</v>
      </c>
      <c r="Y13" s="4">
        <f t="shared" si="5"/>
        <v>147</v>
      </c>
      <c r="Z13" s="4">
        <f t="shared" si="5"/>
        <v>151</v>
      </c>
      <c r="AA13" s="4">
        <f t="shared" si="5"/>
        <v>158</v>
      </c>
      <c r="AB13" s="4">
        <f t="shared" si="5"/>
        <v>161</v>
      </c>
      <c r="AC13" s="4">
        <f t="shared" si="5"/>
        <v>164</v>
      </c>
      <c r="AD13" s="4">
        <f t="shared" si="5"/>
        <v>164</v>
      </c>
      <c r="AE13" s="4">
        <f t="shared" si="5"/>
        <v>168</v>
      </c>
    </row>
    <row r="14" spans="1:32">
      <c r="A14" s="14" t="s">
        <v>2</v>
      </c>
      <c r="B14" s="18">
        <v>0</v>
      </c>
      <c r="C14" s="4">
        <f>B14+C4</f>
        <v>2</v>
      </c>
      <c r="D14" s="4">
        <f t="shared" si="5"/>
        <v>2</v>
      </c>
      <c r="E14" s="4">
        <f t="shared" si="5"/>
        <v>3</v>
      </c>
      <c r="F14" s="4">
        <f t="shared" si="5"/>
        <v>3</v>
      </c>
      <c r="G14" s="4">
        <f t="shared" si="5"/>
        <v>3</v>
      </c>
      <c r="H14" s="4">
        <f t="shared" si="5"/>
        <v>5</v>
      </c>
      <c r="I14" s="4">
        <f t="shared" si="5"/>
        <v>5</v>
      </c>
      <c r="J14" s="4">
        <f t="shared" si="5"/>
        <v>6</v>
      </c>
      <c r="K14" s="4">
        <f t="shared" si="5"/>
        <v>6</v>
      </c>
      <c r="L14" s="4">
        <f t="shared" si="5"/>
        <v>8</v>
      </c>
      <c r="M14" s="4">
        <f t="shared" si="5"/>
        <v>8</v>
      </c>
      <c r="N14" s="4">
        <f t="shared" si="5"/>
        <v>9</v>
      </c>
      <c r="O14" s="4">
        <f t="shared" si="5"/>
        <v>9</v>
      </c>
      <c r="P14" s="4">
        <f t="shared" si="5"/>
        <v>9</v>
      </c>
      <c r="Q14" s="4">
        <f t="shared" si="5"/>
        <v>9</v>
      </c>
      <c r="R14" s="4">
        <f t="shared" si="5"/>
        <v>10</v>
      </c>
      <c r="S14" s="4">
        <f t="shared" si="5"/>
        <v>12</v>
      </c>
      <c r="T14" s="4">
        <f t="shared" si="5"/>
        <v>14</v>
      </c>
      <c r="U14" s="4">
        <f t="shared" si="5"/>
        <v>16</v>
      </c>
      <c r="V14" s="4">
        <f t="shared" si="5"/>
        <v>16</v>
      </c>
      <c r="W14" s="4">
        <f t="shared" si="5"/>
        <v>16</v>
      </c>
      <c r="X14" s="4">
        <f t="shared" si="5"/>
        <v>23</v>
      </c>
      <c r="Y14" s="4">
        <f t="shared" si="5"/>
        <v>25</v>
      </c>
      <c r="Z14" s="4">
        <f t="shared" si="5"/>
        <v>25</v>
      </c>
      <c r="AA14" s="4">
        <f t="shared" si="5"/>
        <v>27</v>
      </c>
      <c r="AB14" s="4">
        <f t="shared" si="5"/>
        <v>28</v>
      </c>
      <c r="AC14" s="4">
        <f t="shared" si="5"/>
        <v>29</v>
      </c>
      <c r="AD14" s="4">
        <f t="shared" si="5"/>
        <v>29</v>
      </c>
      <c r="AE14" s="4">
        <f t="shared" si="5"/>
        <v>32</v>
      </c>
    </row>
    <row r="15" spans="1:32">
      <c r="A15" s="14" t="s">
        <v>3</v>
      </c>
      <c r="B15" s="18">
        <v>0</v>
      </c>
      <c r="C15" s="4">
        <f>B15+C5</f>
        <v>0</v>
      </c>
      <c r="D15" s="4">
        <f t="shared" si="5"/>
        <v>0</v>
      </c>
      <c r="E15" s="4">
        <f t="shared" si="5"/>
        <v>0</v>
      </c>
      <c r="F15" s="4">
        <f t="shared" si="5"/>
        <v>0</v>
      </c>
      <c r="G15" s="4">
        <f t="shared" si="5"/>
        <v>0</v>
      </c>
      <c r="H15" s="4">
        <f t="shared" si="5"/>
        <v>0</v>
      </c>
      <c r="I15" s="4">
        <f t="shared" si="5"/>
        <v>0</v>
      </c>
      <c r="J15" s="4">
        <f t="shared" si="5"/>
        <v>0</v>
      </c>
      <c r="K15" s="4">
        <f t="shared" si="5"/>
        <v>1</v>
      </c>
      <c r="L15" s="4">
        <f t="shared" si="5"/>
        <v>1</v>
      </c>
      <c r="M15" s="4">
        <f t="shared" si="5"/>
        <v>2</v>
      </c>
      <c r="N15" s="4">
        <f t="shared" si="5"/>
        <v>2</v>
      </c>
      <c r="O15" s="4">
        <f t="shared" si="5"/>
        <v>2</v>
      </c>
      <c r="P15" s="4">
        <f t="shared" si="5"/>
        <v>2</v>
      </c>
      <c r="Q15" s="4">
        <f t="shared" si="5"/>
        <v>2</v>
      </c>
      <c r="R15" s="4">
        <f t="shared" si="5"/>
        <v>2</v>
      </c>
      <c r="S15" s="4">
        <f t="shared" si="5"/>
        <v>2</v>
      </c>
      <c r="T15" s="4">
        <f t="shared" si="5"/>
        <v>2</v>
      </c>
      <c r="U15" s="4">
        <f t="shared" si="5"/>
        <v>2</v>
      </c>
      <c r="V15" s="4">
        <f t="shared" si="5"/>
        <v>2</v>
      </c>
      <c r="W15" s="4">
        <f t="shared" si="5"/>
        <v>2</v>
      </c>
      <c r="X15" s="4">
        <f t="shared" si="5"/>
        <v>2</v>
      </c>
      <c r="Y15" s="4">
        <f t="shared" si="5"/>
        <v>4</v>
      </c>
      <c r="Z15" s="4">
        <f t="shared" si="5"/>
        <v>5</v>
      </c>
      <c r="AA15" s="4">
        <f t="shared" si="5"/>
        <v>5</v>
      </c>
      <c r="AB15" s="4">
        <f t="shared" si="5"/>
        <v>5</v>
      </c>
      <c r="AC15" s="4">
        <f t="shared" si="5"/>
        <v>5</v>
      </c>
      <c r="AD15" s="4">
        <f t="shared" si="5"/>
        <v>5</v>
      </c>
      <c r="AE15" s="4">
        <f t="shared" si="5"/>
        <v>6</v>
      </c>
    </row>
    <row r="16" spans="1:32">
      <c r="A16" s="16"/>
      <c r="B16" s="13">
        <f>SUM(B12:B15)</f>
        <v>0</v>
      </c>
      <c r="C16" s="13">
        <f t="shared" ref="C16:AE16" si="6">SUM(C12:C15)</f>
        <v>16</v>
      </c>
      <c r="D16" s="13">
        <f t="shared" si="6"/>
        <v>31</v>
      </c>
      <c r="E16" s="13">
        <f t="shared" si="6"/>
        <v>44</v>
      </c>
      <c r="F16" s="13">
        <f t="shared" si="6"/>
        <v>59</v>
      </c>
      <c r="G16" s="13">
        <f t="shared" si="6"/>
        <v>70</v>
      </c>
      <c r="H16" s="13">
        <f t="shared" si="6"/>
        <v>81</v>
      </c>
      <c r="I16" s="13">
        <f t="shared" si="6"/>
        <v>81</v>
      </c>
      <c r="J16" s="13">
        <f t="shared" si="6"/>
        <v>96</v>
      </c>
      <c r="K16" s="13">
        <f t="shared" si="6"/>
        <v>108</v>
      </c>
      <c r="L16" s="13">
        <f t="shared" si="6"/>
        <v>121</v>
      </c>
      <c r="M16" s="13">
        <f t="shared" si="6"/>
        <v>134</v>
      </c>
      <c r="N16" s="13">
        <f t="shared" si="6"/>
        <v>144</v>
      </c>
      <c r="O16" s="13">
        <f t="shared" si="6"/>
        <v>152</v>
      </c>
      <c r="P16" s="13">
        <f t="shared" si="6"/>
        <v>152</v>
      </c>
      <c r="Q16" s="13">
        <f t="shared" si="6"/>
        <v>161</v>
      </c>
      <c r="R16" s="13">
        <f t="shared" si="6"/>
        <v>169</v>
      </c>
      <c r="S16" s="13">
        <f t="shared" si="6"/>
        <v>182</v>
      </c>
      <c r="T16" s="13">
        <f t="shared" si="6"/>
        <v>196</v>
      </c>
      <c r="U16" s="13">
        <f t="shared" si="6"/>
        <v>207</v>
      </c>
      <c r="V16" s="13">
        <f t="shared" si="6"/>
        <v>207</v>
      </c>
      <c r="W16" s="13">
        <f t="shared" si="6"/>
        <v>207</v>
      </c>
      <c r="X16" s="13">
        <f t="shared" si="6"/>
        <v>225</v>
      </c>
      <c r="Y16" s="13">
        <f t="shared" si="6"/>
        <v>241</v>
      </c>
      <c r="Z16" s="13">
        <f t="shared" si="6"/>
        <v>251</v>
      </c>
      <c r="AA16" s="13">
        <f t="shared" si="6"/>
        <v>262</v>
      </c>
      <c r="AB16" s="13">
        <f t="shared" si="6"/>
        <v>269</v>
      </c>
      <c r="AC16" s="13">
        <f t="shared" si="6"/>
        <v>278</v>
      </c>
      <c r="AD16" s="13">
        <f t="shared" si="6"/>
        <v>278</v>
      </c>
      <c r="AE16" s="13">
        <f t="shared" si="6"/>
        <v>287</v>
      </c>
    </row>
    <row r="17" spans="1:32">
      <c r="A17" s="14" t="s">
        <v>0</v>
      </c>
      <c r="B17" s="11" t="e">
        <f>B12/B$16</f>
        <v>#DIV/0!</v>
      </c>
      <c r="C17" s="11">
        <f t="shared" ref="C17:AE17" si="7">C12/C16</f>
        <v>0.1875</v>
      </c>
      <c r="D17" s="11">
        <f t="shared" si="7"/>
        <v>0.29032258064516131</v>
      </c>
      <c r="E17" s="11">
        <f t="shared" si="7"/>
        <v>0.27272727272727271</v>
      </c>
      <c r="F17" s="11">
        <f t="shared" si="7"/>
        <v>0.25423728813559321</v>
      </c>
      <c r="G17" s="11">
        <f t="shared" si="7"/>
        <v>0.22857142857142856</v>
      </c>
      <c r="H17" s="11">
        <f t="shared" si="7"/>
        <v>0.27160493827160492</v>
      </c>
      <c r="I17" s="11">
        <f t="shared" si="7"/>
        <v>0.27160493827160492</v>
      </c>
      <c r="J17" s="11">
        <f t="shared" si="7"/>
        <v>0.26041666666666669</v>
      </c>
      <c r="K17" s="11">
        <f t="shared" si="7"/>
        <v>0.27777777777777779</v>
      </c>
      <c r="L17" s="11">
        <f t="shared" si="7"/>
        <v>0.28099173553719009</v>
      </c>
      <c r="M17" s="11">
        <f t="shared" si="7"/>
        <v>0.26865671641791045</v>
      </c>
      <c r="N17" s="11">
        <f t="shared" si="7"/>
        <v>0.2638888888888889</v>
      </c>
      <c r="O17" s="11">
        <f t="shared" si="7"/>
        <v>0.27631578947368424</v>
      </c>
      <c r="P17" s="11">
        <f t="shared" si="7"/>
        <v>0.27631578947368424</v>
      </c>
      <c r="Q17" s="11">
        <f t="shared" si="7"/>
        <v>0.2857142857142857</v>
      </c>
      <c r="R17" s="11">
        <f t="shared" si="7"/>
        <v>0.28402366863905326</v>
      </c>
      <c r="S17" s="11">
        <f t="shared" si="7"/>
        <v>0.29120879120879123</v>
      </c>
      <c r="T17" s="11">
        <f t="shared" si="7"/>
        <v>0.2857142857142857</v>
      </c>
      <c r="U17" s="11">
        <f t="shared" si="7"/>
        <v>0.28502415458937197</v>
      </c>
      <c r="V17" s="11">
        <f t="shared" si="7"/>
        <v>0.28502415458937197</v>
      </c>
      <c r="W17" s="11">
        <f t="shared" si="7"/>
        <v>0.28502415458937197</v>
      </c>
      <c r="X17" s="11">
        <f t="shared" si="7"/>
        <v>0.28444444444444444</v>
      </c>
      <c r="Y17" s="11">
        <f t="shared" si="7"/>
        <v>0.26970954356846472</v>
      </c>
      <c r="Z17" s="11">
        <f t="shared" si="7"/>
        <v>0.2788844621513944</v>
      </c>
      <c r="AA17" s="11">
        <f t="shared" si="7"/>
        <v>0.27480916030534353</v>
      </c>
      <c r="AB17" s="11">
        <f t="shared" si="7"/>
        <v>0.27881040892193309</v>
      </c>
      <c r="AC17" s="11">
        <f t="shared" si="7"/>
        <v>0.28776978417266186</v>
      </c>
      <c r="AD17" s="11">
        <f t="shared" si="7"/>
        <v>0.28776978417266186</v>
      </c>
      <c r="AE17" s="11">
        <f t="shared" si="7"/>
        <v>0.28222996515679444</v>
      </c>
    </row>
    <row r="18" spans="1:32">
      <c r="A18" s="14" t="s">
        <v>1</v>
      </c>
      <c r="B18" s="11" t="e">
        <f>B13/B$16</f>
        <v>#DIV/0!</v>
      </c>
      <c r="C18" s="11">
        <f t="shared" ref="C18:Q18" si="8">C13/C$16</f>
        <v>0.6875</v>
      </c>
      <c r="D18" s="11">
        <f t="shared" si="8"/>
        <v>0.64516129032258063</v>
      </c>
      <c r="E18" s="11">
        <f t="shared" si="8"/>
        <v>0.65909090909090906</v>
      </c>
      <c r="F18" s="11">
        <f t="shared" si="8"/>
        <v>0.69491525423728817</v>
      </c>
      <c r="G18" s="11">
        <f t="shared" si="8"/>
        <v>0.72857142857142854</v>
      </c>
      <c r="H18" s="11">
        <f t="shared" si="8"/>
        <v>0.66666666666666663</v>
      </c>
      <c r="I18" s="11">
        <f t="shared" si="8"/>
        <v>0.66666666666666663</v>
      </c>
      <c r="J18" s="11">
        <f t="shared" si="8"/>
        <v>0.67708333333333337</v>
      </c>
      <c r="K18" s="11">
        <f t="shared" si="8"/>
        <v>0.65740740740740744</v>
      </c>
      <c r="L18" s="11">
        <f t="shared" si="8"/>
        <v>0.64462809917355368</v>
      </c>
      <c r="M18" s="11">
        <f t="shared" si="8"/>
        <v>0.65671641791044777</v>
      </c>
      <c r="N18" s="11">
        <f t="shared" si="8"/>
        <v>0.65972222222222221</v>
      </c>
      <c r="O18" s="11">
        <f t="shared" si="8"/>
        <v>0.65131578947368418</v>
      </c>
      <c r="P18" s="11">
        <f t="shared" si="8"/>
        <v>0.65131578947368418</v>
      </c>
      <c r="Q18" s="11">
        <f t="shared" si="8"/>
        <v>0.64596273291925466</v>
      </c>
      <c r="R18" s="11">
        <f t="shared" ref="R18:AE20" si="9">R13/R$16</f>
        <v>0.6449704142011834</v>
      </c>
      <c r="S18" s="11">
        <f t="shared" si="9"/>
        <v>0.63186813186813184</v>
      </c>
      <c r="T18" s="11">
        <f t="shared" si="9"/>
        <v>0.63265306122448983</v>
      </c>
      <c r="U18" s="11">
        <f t="shared" si="9"/>
        <v>0.6280193236714976</v>
      </c>
      <c r="V18" s="11">
        <f t="shared" si="9"/>
        <v>0.6280193236714976</v>
      </c>
      <c r="W18" s="11">
        <f t="shared" si="9"/>
        <v>0.6280193236714976</v>
      </c>
      <c r="X18" s="11">
        <f t="shared" si="9"/>
        <v>0.60444444444444445</v>
      </c>
      <c r="Y18" s="11">
        <f t="shared" si="9"/>
        <v>0.60995850622406644</v>
      </c>
      <c r="Z18" s="11">
        <f t="shared" si="9"/>
        <v>0.60159362549800799</v>
      </c>
      <c r="AA18" s="11">
        <f t="shared" si="9"/>
        <v>0.60305343511450382</v>
      </c>
      <c r="AB18" s="11">
        <f t="shared" si="9"/>
        <v>0.5985130111524164</v>
      </c>
      <c r="AC18" s="11">
        <f t="shared" si="9"/>
        <v>0.58992805755395683</v>
      </c>
      <c r="AD18" s="11">
        <f t="shared" si="9"/>
        <v>0.58992805755395683</v>
      </c>
      <c r="AE18" s="11">
        <f t="shared" si="9"/>
        <v>0.58536585365853655</v>
      </c>
    </row>
    <row r="19" spans="1:32">
      <c r="A19" s="14" t="s">
        <v>2</v>
      </c>
      <c r="B19" s="11" t="e">
        <f>B14/B$16</f>
        <v>#DIV/0!</v>
      </c>
      <c r="C19" s="11">
        <f t="shared" ref="C19:Q19" si="10">C14/C$16</f>
        <v>0.125</v>
      </c>
      <c r="D19" s="11">
        <f t="shared" si="10"/>
        <v>6.4516129032258063E-2</v>
      </c>
      <c r="E19" s="11">
        <f t="shared" si="10"/>
        <v>6.8181818181818177E-2</v>
      </c>
      <c r="F19" s="11">
        <f t="shared" si="10"/>
        <v>5.0847457627118647E-2</v>
      </c>
      <c r="G19" s="11">
        <f t="shared" si="10"/>
        <v>4.2857142857142858E-2</v>
      </c>
      <c r="H19" s="11">
        <f t="shared" si="10"/>
        <v>6.1728395061728392E-2</v>
      </c>
      <c r="I19" s="11">
        <f t="shared" si="10"/>
        <v>6.1728395061728392E-2</v>
      </c>
      <c r="J19" s="11">
        <f t="shared" si="10"/>
        <v>6.25E-2</v>
      </c>
      <c r="K19" s="11">
        <f t="shared" si="10"/>
        <v>5.5555555555555552E-2</v>
      </c>
      <c r="L19" s="11">
        <f t="shared" si="10"/>
        <v>6.6115702479338845E-2</v>
      </c>
      <c r="M19" s="11">
        <f t="shared" si="10"/>
        <v>5.9701492537313432E-2</v>
      </c>
      <c r="N19" s="11">
        <f t="shared" si="10"/>
        <v>6.25E-2</v>
      </c>
      <c r="O19" s="11">
        <f t="shared" si="10"/>
        <v>5.921052631578947E-2</v>
      </c>
      <c r="P19" s="11">
        <f t="shared" si="10"/>
        <v>5.921052631578947E-2</v>
      </c>
      <c r="Q19" s="11">
        <f t="shared" si="10"/>
        <v>5.5900621118012424E-2</v>
      </c>
      <c r="R19" s="11">
        <f t="shared" si="9"/>
        <v>5.9171597633136092E-2</v>
      </c>
      <c r="S19" s="11">
        <f t="shared" si="9"/>
        <v>6.5934065934065936E-2</v>
      </c>
      <c r="T19" s="11">
        <f t="shared" si="9"/>
        <v>7.1428571428571425E-2</v>
      </c>
      <c r="U19" s="11">
        <f t="shared" si="9"/>
        <v>7.7294685990338161E-2</v>
      </c>
      <c r="V19" s="11">
        <f t="shared" si="9"/>
        <v>7.7294685990338161E-2</v>
      </c>
      <c r="W19" s="11">
        <f t="shared" si="9"/>
        <v>7.7294685990338161E-2</v>
      </c>
      <c r="X19" s="11">
        <f t="shared" si="9"/>
        <v>0.10222222222222223</v>
      </c>
      <c r="Y19" s="11">
        <f t="shared" si="9"/>
        <v>0.1037344398340249</v>
      </c>
      <c r="Z19" s="11">
        <f t="shared" si="9"/>
        <v>9.9601593625498003E-2</v>
      </c>
      <c r="AA19" s="11">
        <f t="shared" si="9"/>
        <v>0.10305343511450382</v>
      </c>
      <c r="AB19" s="11">
        <f t="shared" si="9"/>
        <v>0.10408921933085502</v>
      </c>
      <c r="AC19" s="11">
        <f t="shared" si="9"/>
        <v>0.10431654676258993</v>
      </c>
      <c r="AD19" s="11">
        <f t="shared" si="9"/>
        <v>0.10431654676258993</v>
      </c>
      <c r="AE19" s="11">
        <f t="shared" si="9"/>
        <v>0.11149825783972125</v>
      </c>
    </row>
    <row r="20" spans="1:32">
      <c r="A20" s="14" t="s">
        <v>3</v>
      </c>
      <c r="B20" s="11" t="e">
        <f>B15/B$16</f>
        <v>#DIV/0!</v>
      </c>
      <c r="C20" s="11">
        <f t="shared" ref="C20:Q20" si="11">C15/C$16</f>
        <v>0</v>
      </c>
      <c r="D20" s="11">
        <f t="shared" si="11"/>
        <v>0</v>
      </c>
      <c r="E20" s="11">
        <f t="shared" si="11"/>
        <v>0</v>
      </c>
      <c r="F20" s="11">
        <f t="shared" si="11"/>
        <v>0</v>
      </c>
      <c r="G20" s="11">
        <f t="shared" si="11"/>
        <v>0</v>
      </c>
      <c r="H20" s="11">
        <f t="shared" si="11"/>
        <v>0</v>
      </c>
      <c r="I20" s="11">
        <f t="shared" si="11"/>
        <v>0</v>
      </c>
      <c r="J20" s="11">
        <f t="shared" si="11"/>
        <v>0</v>
      </c>
      <c r="K20" s="11">
        <f t="shared" si="11"/>
        <v>9.2592592592592587E-3</v>
      </c>
      <c r="L20" s="11">
        <f t="shared" si="11"/>
        <v>8.2644628099173556E-3</v>
      </c>
      <c r="M20" s="11">
        <f t="shared" si="11"/>
        <v>1.4925373134328358E-2</v>
      </c>
      <c r="N20" s="11">
        <f t="shared" si="11"/>
        <v>1.3888888888888888E-2</v>
      </c>
      <c r="O20" s="11">
        <f t="shared" si="11"/>
        <v>1.3157894736842105E-2</v>
      </c>
      <c r="P20" s="11">
        <f t="shared" si="11"/>
        <v>1.3157894736842105E-2</v>
      </c>
      <c r="Q20" s="11">
        <f t="shared" si="11"/>
        <v>1.2422360248447204E-2</v>
      </c>
      <c r="R20" s="11">
        <f t="shared" si="9"/>
        <v>1.1834319526627219E-2</v>
      </c>
      <c r="S20" s="11">
        <f t="shared" si="9"/>
        <v>1.098901098901099E-2</v>
      </c>
      <c r="T20" s="11">
        <f t="shared" si="9"/>
        <v>1.020408163265306E-2</v>
      </c>
      <c r="U20" s="11">
        <f t="shared" si="9"/>
        <v>9.6618357487922701E-3</v>
      </c>
      <c r="V20" s="11">
        <f t="shared" si="9"/>
        <v>9.6618357487922701E-3</v>
      </c>
      <c r="W20" s="11">
        <f t="shared" si="9"/>
        <v>9.6618357487922701E-3</v>
      </c>
      <c r="X20" s="11">
        <f t="shared" si="9"/>
        <v>8.8888888888888889E-3</v>
      </c>
      <c r="Y20" s="11">
        <f t="shared" si="9"/>
        <v>1.6597510373443983E-2</v>
      </c>
      <c r="Z20" s="11">
        <f t="shared" si="9"/>
        <v>1.9920318725099601E-2</v>
      </c>
      <c r="AA20" s="11">
        <f t="shared" si="9"/>
        <v>1.9083969465648856E-2</v>
      </c>
      <c r="AB20" s="11">
        <f t="shared" si="9"/>
        <v>1.858736059479554E-2</v>
      </c>
      <c r="AC20" s="11">
        <f t="shared" si="9"/>
        <v>1.7985611510791366E-2</v>
      </c>
      <c r="AD20" s="11">
        <f t="shared" si="9"/>
        <v>1.7985611510791366E-2</v>
      </c>
      <c r="AE20" s="11">
        <f t="shared" si="9"/>
        <v>2.0905923344947737E-2</v>
      </c>
    </row>
    <row r="21" spans="1:32">
      <c r="A21" s="16"/>
      <c r="B21" s="1" t="e">
        <f>SUM(B17:B20)</f>
        <v>#DIV/0!</v>
      </c>
      <c r="C21" s="1">
        <f t="shared" ref="C21:AF21" si="12">SUM(C17:C20)</f>
        <v>1</v>
      </c>
      <c r="D21" s="1">
        <f t="shared" si="12"/>
        <v>1</v>
      </c>
      <c r="E21" s="1">
        <f t="shared" si="12"/>
        <v>1</v>
      </c>
      <c r="F21" s="1">
        <f t="shared" si="12"/>
        <v>1</v>
      </c>
      <c r="G21" s="1">
        <f t="shared" si="12"/>
        <v>0.99999999999999989</v>
      </c>
      <c r="H21" s="1">
        <f t="shared" si="12"/>
        <v>1</v>
      </c>
      <c r="I21" s="1">
        <f t="shared" si="12"/>
        <v>1</v>
      </c>
      <c r="J21" s="1">
        <f t="shared" si="12"/>
        <v>1</v>
      </c>
      <c r="K21" s="1">
        <f t="shared" si="12"/>
        <v>1</v>
      </c>
      <c r="L21" s="1">
        <f t="shared" si="12"/>
        <v>1</v>
      </c>
      <c r="M21" s="1">
        <f t="shared" si="12"/>
        <v>1</v>
      </c>
      <c r="N21" s="1">
        <f t="shared" si="12"/>
        <v>1</v>
      </c>
      <c r="O21" s="1">
        <f t="shared" si="12"/>
        <v>1</v>
      </c>
      <c r="P21" s="1">
        <f t="shared" si="12"/>
        <v>1</v>
      </c>
      <c r="Q21" s="1">
        <f t="shared" si="12"/>
        <v>1</v>
      </c>
      <c r="R21" s="1">
        <f t="shared" si="12"/>
        <v>0.99999999999999989</v>
      </c>
      <c r="S21" s="1">
        <f t="shared" si="12"/>
        <v>1</v>
      </c>
      <c r="T21" s="1">
        <f t="shared" si="12"/>
        <v>1</v>
      </c>
      <c r="U21" s="1">
        <f t="shared" si="12"/>
        <v>1</v>
      </c>
      <c r="V21" s="1">
        <f t="shared" si="12"/>
        <v>1</v>
      </c>
      <c r="W21" s="1">
        <f t="shared" si="12"/>
        <v>1</v>
      </c>
      <c r="X21" s="1">
        <f t="shared" si="12"/>
        <v>0.99999999999999989</v>
      </c>
      <c r="Y21" s="1">
        <f t="shared" si="12"/>
        <v>1</v>
      </c>
      <c r="Z21" s="1">
        <f t="shared" si="12"/>
        <v>1</v>
      </c>
      <c r="AA21" s="1">
        <f t="shared" si="12"/>
        <v>1</v>
      </c>
      <c r="AB21" s="1">
        <f t="shared" si="12"/>
        <v>1</v>
      </c>
      <c r="AC21" s="1">
        <f t="shared" si="12"/>
        <v>1</v>
      </c>
      <c r="AD21" s="1">
        <f t="shared" si="12"/>
        <v>1</v>
      </c>
      <c r="AE21" s="1">
        <f t="shared" si="12"/>
        <v>1</v>
      </c>
      <c r="AF21" s="1">
        <f t="shared" si="12"/>
        <v>0</v>
      </c>
    </row>
    <row r="22" spans="1:32">
      <c r="A22" s="14" t="s">
        <v>5</v>
      </c>
      <c r="B22" s="4">
        <f>B2+B3</f>
        <v>0</v>
      </c>
      <c r="C22" s="4">
        <f t="shared" ref="C22:AE22" si="13">C2+C3</f>
        <v>14</v>
      </c>
      <c r="D22" s="4">
        <f t="shared" si="13"/>
        <v>15</v>
      </c>
      <c r="E22" s="4">
        <f t="shared" si="13"/>
        <v>12</v>
      </c>
      <c r="F22" s="4">
        <f t="shared" si="13"/>
        <v>15</v>
      </c>
      <c r="G22" s="4">
        <f t="shared" si="13"/>
        <v>11</v>
      </c>
      <c r="H22" s="4">
        <f t="shared" si="13"/>
        <v>9</v>
      </c>
      <c r="I22" s="4">
        <f t="shared" si="13"/>
        <v>0</v>
      </c>
      <c r="J22" s="4">
        <f t="shared" si="13"/>
        <v>14</v>
      </c>
      <c r="K22" s="4">
        <f t="shared" si="13"/>
        <v>11</v>
      </c>
      <c r="L22" s="4">
        <f t="shared" si="13"/>
        <v>11</v>
      </c>
      <c r="M22" s="4">
        <f t="shared" si="13"/>
        <v>12</v>
      </c>
      <c r="N22" s="4">
        <f t="shared" si="13"/>
        <v>9</v>
      </c>
      <c r="O22" s="4">
        <f t="shared" si="13"/>
        <v>8</v>
      </c>
      <c r="P22" s="4">
        <f t="shared" si="13"/>
        <v>0</v>
      </c>
      <c r="Q22" s="4">
        <f t="shared" si="13"/>
        <v>9</v>
      </c>
      <c r="R22" s="4">
        <f t="shared" si="13"/>
        <v>7</v>
      </c>
      <c r="S22" s="4">
        <f t="shared" si="13"/>
        <v>11</v>
      </c>
      <c r="T22" s="4">
        <f t="shared" si="13"/>
        <v>12</v>
      </c>
      <c r="U22" s="4">
        <f t="shared" si="13"/>
        <v>9</v>
      </c>
      <c r="V22" s="4">
        <f t="shared" si="13"/>
        <v>0</v>
      </c>
      <c r="W22" s="4">
        <f t="shared" si="13"/>
        <v>0</v>
      </c>
      <c r="X22" s="4">
        <f t="shared" si="13"/>
        <v>11</v>
      </c>
      <c r="Y22" s="4">
        <f t="shared" si="13"/>
        <v>12</v>
      </c>
      <c r="Z22" s="4">
        <f t="shared" si="13"/>
        <v>9</v>
      </c>
      <c r="AA22" s="4">
        <f t="shared" si="13"/>
        <v>9</v>
      </c>
      <c r="AB22" s="4">
        <f t="shared" si="13"/>
        <v>6</v>
      </c>
      <c r="AC22" s="4">
        <f t="shared" si="13"/>
        <v>8</v>
      </c>
      <c r="AD22" s="4">
        <f t="shared" si="13"/>
        <v>0</v>
      </c>
      <c r="AE22" s="4">
        <f t="shared" si="13"/>
        <v>5</v>
      </c>
      <c r="AF22" s="4">
        <f>SUM(B22:AE22)</f>
        <v>249</v>
      </c>
    </row>
    <row r="23" spans="1:32">
      <c r="A23" s="14" t="s">
        <v>2</v>
      </c>
      <c r="B23" s="4">
        <f>B4</f>
        <v>0</v>
      </c>
      <c r="C23" s="4">
        <f t="shared" ref="C23:AE24" si="14">C4</f>
        <v>2</v>
      </c>
      <c r="D23" s="4">
        <f t="shared" si="14"/>
        <v>0</v>
      </c>
      <c r="E23" s="4">
        <f t="shared" si="14"/>
        <v>1</v>
      </c>
      <c r="F23" s="4">
        <f t="shared" si="14"/>
        <v>0</v>
      </c>
      <c r="G23" s="4">
        <f t="shared" si="14"/>
        <v>0</v>
      </c>
      <c r="H23" s="4">
        <f t="shared" si="14"/>
        <v>2</v>
      </c>
      <c r="I23" s="4">
        <f t="shared" si="14"/>
        <v>0</v>
      </c>
      <c r="J23" s="4">
        <f t="shared" si="14"/>
        <v>1</v>
      </c>
      <c r="K23" s="4">
        <f t="shared" si="14"/>
        <v>0</v>
      </c>
      <c r="L23" s="4">
        <f t="shared" si="14"/>
        <v>2</v>
      </c>
      <c r="M23" s="4">
        <f t="shared" si="14"/>
        <v>0</v>
      </c>
      <c r="N23" s="4">
        <f t="shared" si="14"/>
        <v>1</v>
      </c>
      <c r="O23" s="4">
        <f t="shared" si="14"/>
        <v>0</v>
      </c>
      <c r="P23" s="4">
        <f t="shared" si="14"/>
        <v>0</v>
      </c>
      <c r="Q23" s="4">
        <f t="shared" si="14"/>
        <v>0</v>
      </c>
      <c r="R23" s="4">
        <f t="shared" si="14"/>
        <v>1</v>
      </c>
      <c r="S23" s="4">
        <f t="shared" si="14"/>
        <v>2</v>
      </c>
      <c r="T23" s="4">
        <f t="shared" si="14"/>
        <v>2</v>
      </c>
      <c r="U23" s="4">
        <f t="shared" si="14"/>
        <v>2</v>
      </c>
      <c r="V23" s="4">
        <f t="shared" si="14"/>
        <v>0</v>
      </c>
      <c r="W23" s="4">
        <f t="shared" si="14"/>
        <v>0</v>
      </c>
      <c r="X23" s="4">
        <f t="shared" si="14"/>
        <v>7</v>
      </c>
      <c r="Y23" s="4">
        <f t="shared" si="14"/>
        <v>2</v>
      </c>
      <c r="Z23" s="4">
        <f t="shared" si="14"/>
        <v>0</v>
      </c>
      <c r="AA23" s="4">
        <f t="shared" si="14"/>
        <v>2</v>
      </c>
      <c r="AB23" s="4">
        <f t="shared" si="14"/>
        <v>1</v>
      </c>
      <c r="AC23" s="4">
        <f t="shared" si="14"/>
        <v>1</v>
      </c>
      <c r="AD23" s="4">
        <f t="shared" si="14"/>
        <v>0</v>
      </c>
      <c r="AE23" s="4">
        <f t="shared" si="14"/>
        <v>3</v>
      </c>
      <c r="AF23" s="4">
        <f>SUM(B23:AE23)</f>
        <v>32</v>
      </c>
    </row>
    <row r="24" spans="1:32">
      <c r="A24" s="14" t="s">
        <v>3</v>
      </c>
      <c r="B24" s="4">
        <f>B5</f>
        <v>0</v>
      </c>
      <c r="C24" s="4">
        <f t="shared" si="14"/>
        <v>0</v>
      </c>
      <c r="D24" s="4">
        <f t="shared" si="14"/>
        <v>0</v>
      </c>
      <c r="E24" s="4">
        <f t="shared" si="14"/>
        <v>0</v>
      </c>
      <c r="F24" s="4">
        <f t="shared" si="14"/>
        <v>0</v>
      </c>
      <c r="G24" s="4">
        <f t="shared" si="14"/>
        <v>0</v>
      </c>
      <c r="H24" s="4">
        <f t="shared" si="14"/>
        <v>0</v>
      </c>
      <c r="I24" s="4">
        <f t="shared" si="14"/>
        <v>0</v>
      </c>
      <c r="J24" s="4">
        <f t="shared" si="14"/>
        <v>0</v>
      </c>
      <c r="K24" s="4">
        <f t="shared" si="14"/>
        <v>1</v>
      </c>
      <c r="L24" s="4">
        <f t="shared" si="14"/>
        <v>0</v>
      </c>
      <c r="M24" s="4">
        <f t="shared" si="14"/>
        <v>1</v>
      </c>
      <c r="N24" s="4">
        <f t="shared" si="14"/>
        <v>0</v>
      </c>
      <c r="O24" s="4">
        <f t="shared" si="14"/>
        <v>0</v>
      </c>
      <c r="P24" s="4">
        <f t="shared" si="14"/>
        <v>0</v>
      </c>
      <c r="Q24" s="4">
        <f t="shared" si="14"/>
        <v>0</v>
      </c>
      <c r="R24" s="4">
        <f t="shared" si="14"/>
        <v>0</v>
      </c>
      <c r="S24" s="4">
        <f t="shared" si="14"/>
        <v>0</v>
      </c>
      <c r="T24" s="4">
        <f t="shared" si="14"/>
        <v>0</v>
      </c>
      <c r="U24" s="4">
        <f t="shared" si="14"/>
        <v>0</v>
      </c>
      <c r="V24" s="4">
        <f t="shared" si="14"/>
        <v>0</v>
      </c>
      <c r="W24" s="4">
        <f t="shared" si="14"/>
        <v>0</v>
      </c>
      <c r="X24" s="4">
        <f t="shared" si="14"/>
        <v>0</v>
      </c>
      <c r="Y24" s="4">
        <f t="shared" si="14"/>
        <v>2</v>
      </c>
      <c r="Z24" s="4">
        <f t="shared" si="14"/>
        <v>1</v>
      </c>
      <c r="AA24" s="4">
        <f t="shared" si="14"/>
        <v>0</v>
      </c>
      <c r="AB24" s="4">
        <f t="shared" si="14"/>
        <v>0</v>
      </c>
      <c r="AC24" s="4">
        <f t="shared" si="14"/>
        <v>0</v>
      </c>
      <c r="AD24" s="4">
        <f t="shared" si="14"/>
        <v>0</v>
      </c>
      <c r="AE24" s="4">
        <f t="shared" si="14"/>
        <v>1</v>
      </c>
      <c r="AF24" s="4">
        <f>SUM(B24:AE24)</f>
        <v>6</v>
      </c>
    </row>
    <row r="25" spans="1:32">
      <c r="A25" s="17"/>
      <c r="B25" s="13">
        <f>SUM(B22:B24)</f>
        <v>0</v>
      </c>
      <c r="C25" s="13">
        <f t="shared" ref="C25:AF25" si="15">SUM(C22:C24)</f>
        <v>16</v>
      </c>
      <c r="D25" s="13">
        <f t="shared" si="15"/>
        <v>15</v>
      </c>
      <c r="E25" s="13">
        <f t="shared" si="15"/>
        <v>13</v>
      </c>
      <c r="F25" s="13">
        <f t="shared" si="15"/>
        <v>15</v>
      </c>
      <c r="G25" s="13">
        <f t="shared" si="15"/>
        <v>11</v>
      </c>
      <c r="H25" s="13">
        <f t="shared" si="15"/>
        <v>11</v>
      </c>
      <c r="I25" s="13">
        <f t="shared" si="15"/>
        <v>0</v>
      </c>
      <c r="J25" s="13">
        <f t="shared" si="15"/>
        <v>15</v>
      </c>
      <c r="K25" s="13">
        <f t="shared" si="15"/>
        <v>12</v>
      </c>
      <c r="L25" s="13">
        <f t="shared" si="15"/>
        <v>13</v>
      </c>
      <c r="M25" s="13">
        <f t="shared" si="15"/>
        <v>13</v>
      </c>
      <c r="N25" s="13">
        <f t="shared" si="15"/>
        <v>10</v>
      </c>
      <c r="O25" s="13">
        <f t="shared" si="15"/>
        <v>8</v>
      </c>
      <c r="P25" s="13">
        <f t="shared" si="15"/>
        <v>0</v>
      </c>
      <c r="Q25" s="13">
        <f t="shared" si="15"/>
        <v>9</v>
      </c>
      <c r="R25" s="13">
        <f t="shared" si="15"/>
        <v>8</v>
      </c>
      <c r="S25" s="13">
        <f t="shared" si="15"/>
        <v>13</v>
      </c>
      <c r="T25" s="13">
        <f t="shared" si="15"/>
        <v>14</v>
      </c>
      <c r="U25" s="13">
        <f t="shared" si="15"/>
        <v>11</v>
      </c>
      <c r="V25" s="13">
        <f t="shared" si="15"/>
        <v>0</v>
      </c>
      <c r="W25" s="13">
        <f t="shared" si="15"/>
        <v>0</v>
      </c>
      <c r="X25" s="13">
        <f t="shared" si="15"/>
        <v>18</v>
      </c>
      <c r="Y25" s="13">
        <f t="shared" si="15"/>
        <v>16</v>
      </c>
      <c r="Z25" s="13">
        <f t="shared" si="15"/>
        <v>10</v>
      </c>
      <c r="AA25" s="13">
        <f t="shared" si="15"/>
        <v>11</v>
      </c>
      <c r="AB25" s="13">
        <f t="shared" si="15"/>
        <v>7</v>
      </c>
      <c r="AC25" s="13">
        <f t="shared" si="15"/>
        <v>9</v>
      </c>
      <c r="AD25" s="13">
        <f t="shared" si="15"/>
        <v>0</v>
      </c>
      <c r="AE25" s="13">
        <f t="shared" si="15"/>
        <v>9</v>
      </c>
      <c r="AF25" s="4">
        <f t="shared" si="15"/>
        <v>287</v>
      </c>
    </row>
    <row r="26" spans="1:32">
      <c r="A26" s="14" t="s">
        <v>5</v>
      </c>
      <c r="B26" s="12" t="e">
        <f>B22/B$25</f>
        <v>#DIV/0!</v>
      </c>
      <c r="C26" s="12">
        <f t="shared" ref="C26:AF28" si="16">C22/C$25</f>
        <v>0.875</v>
      </c>
      <c r="D26" s="12">
        <f t="shared" si="16"/>
        <v>1</v>
      </c>
      <c r="E26" s="12">
        <f t="shared" si="16"/>
        <v>0.92307692307692313</v>
      </c>
      <c r="F26" s="12">
        <f t="shared" si="16"/>
        <v>1</v>
      </c>
      <c r="G26" s="12">
        <f t="shared" si="16"/>
        <v>1</v>
      </c>
      <c r="H26" s="12">
        <f t="shared" si="16"/>
        <v>0.81818181818181823</v>
      </c>
      <c r="I26" s="12" t="e">
        <f t="shared" si="16"/>
        <v>#DIV/0!</v>
      </c>
      <c r="J26" s="12">
        <f t="shared" si="16"/>
        <v>0.93333333333333335</v>
      </c>
      <c r="K26" s="12">
        <f t="shared" si="16"/>
        <v>0.91666666666666663</v>
      </c>
      <c r="L26" s="12">
        <f t="shared" si="16"/>
        <v>0.84615384615384615</v>
      </c>
      <c r="M26" s="12">
        <f t="shared" si="16"/>
        <v>0.92307692307692313</v>
      </c>
      <c r="N26" s="12">
        <f t="shared" si="16"/>
        <v>0.9</v>
      </c>
      <c r="O26" s="12">
        <f t="shared" si="16"/>
        <v>1</v>
      </c>
      <c r="P26" s="12" t="e">
        <f t="shared" si="16"/>
        <v>#DIV/0!</v>
      </c>
      <c r="Q26" s="12">
        <f t="shared" si="16"/>
        <v>1</v>
      </c>
      <c r="R26" s="12">
        <f t="shared" si="16"/>
        <v>0.875</v>
      </c>
      <c r="S26" s="12">
        <f t="shared" si="16"/>
        <v>0.84615384615384615</v>
      </c>
      <c r="T26" s="12">
        <f t="shared" si="16"/>
        <v>0.8571428571428571</v>
      </c>
      <c r="U26" s="12">
        <f t="shared" si="16"/>
        <v>0.81818181818181823</v>
      </c>
      <c r="V26" s="12" t="e">
        <f t="shared" si="16"/>
        <v>#DIV/0!</v>
      </c>
      <c r="W26" s="12" t="e">
        <f t="shared" si="16"/>
        <v>#DIV/0!</v>
      </c>
      <c r="X26" s="12">
        <f t="shared" si="16"/>
        <v>0.61111111111111116</v>
      </c>
      <c r="Y26" s="12">
        <f t="shared" si="16"/>
        <v>0.75</v>
      </c>
      <c r="Z26" s="12">
        <f t="shared" si="16"/>
        <v>0.9</v>
      </c>
      <c r="AA26" s="12">
        <f t="shared" si="16"/>
        <v>0.81818181818181823</v>
      </c>
      <c r="AB26" s="12">
        <f t="shared" si="16"/>
        <v>0.8571428571428571</v>
      </c>
      <c r="AC26" s="12">
        <f t="shared" si="16"/>
        <v>0.88888888888888884</v>
      </c>
      <c r="AD26" s="12" t="e">
        <f t="shared" si="16"/>
        <v>#DIV/0!</v>
      </c>
      <c r="AE26" s="12">
        <f t="shared" si="16"/>
        <v>0.55555555555555558</v>
      </c>
      <c r="AF26" s="12">
        <f t="shared" si="16"/>
        <v>0.86759581881533099</v>
      </c>
    </row>
    <row r="27" spans="1:32">
      <c r="A27" s="14" t="s">
        <v>2</v>
      </c>
      <c r="B27" s="12" t="e">
        <f t="shared" ref="B27:Q28" si="17">B23/B$25</f>
        <v>#DIV/0!</v>
      </c>
      <c r="C27" s="12">
        <f t="shared" si="17"/>
        <v>0.125</v>
      </c>
      <c r="D27" s="12">
        <f t="shared" si="17"/>
        <v>0</v>
      </c>
      <c r="E27" s="12">
        <f t="shared" si="17"/>
        <v>7.6923076923076927E-2</v>
      </c>
      <c r="F27" s="12">
        <f t="shared" si="17"/>
        <v>0</v>
      </c>
      <c r="G27" s="12">
        <f t="shared" si="17"/>
        <v>0</v>
      </c>
      <c r="H27" s="12">
        <f t="shared" si="17"/>
        <v>0.18181818181818182</v>
      </c>
      <c r="I27" s="12" t="e">
        <f t="shared" si="17"/>
        <v>#DIV/0!</v>
      </c>
      <c r="J27" s="12">
        <f t="shared" si="17"/>
        <v>6.6666666666666666E-2</v>
      </c>
      <c r="K27" s="12">
        <f t="shared" si="17"/>
        <v>0</v>
      </c>
      <c r="L27" s="12">
        <f t="shared" si="17"/>
        <v>0.15384615384615385</v>
      </c>
      <c r="M27" s="12">
        <f t="shared" si="17"/>
        <v>0</v>
      </c>
      <c r="N27" s="12">
        <f t="shared" si="17"/>
        <v>0.1</v>
      </c>
      <c r="O27" s="12">
        <f t="shared" si="17"/>
        <v>0</v>
      </c>
      <c r="P27" s="12" t="e">
        <f t="shared" si="17"/>
        <v>#DIV/0!</v>
      </c>
      <c r="Q27" s="12">
        <f t="shared" si="17"/>
        <v>0</v>
      </c>
      <c r="R27" s="12">
        <f t="shared" si="16"/>
        <v>0.125</v>
      </c>
      <c r="S27" s="12">
        <f t="shared" si="16"/>
        <v>0.15384615384615385</v>
      </c>
      <c r="T27" s="12">
        <f t="shared" si="16"/>
        <v>0.14285714285714285</v>
      </c>
      <c r="U27" s="12">
        <f t="shared" si="16"/>
        <v>0.18181818181818182</v>
      </c>
      <c r="V27" s="12" t="e">
        <f t="shared" si="16"/>
        <v>#DIV/0!</v>
      </c>
      <c r="W27" s="12" t="e">
        <f t="shared" si="16"/>
        <v>#DIV/0!</v>
      </c>
      <c r="X27" s="12">
        <f t="shared" si="16"/>
        <v>0.3888888888888889</v>
      </c>
      <c r="Y27" s="12">
        <f t="shared" si="16"/>
        <v>0.125</v>
      </c>
      <c r="Z27" s="12">
        <f t="shared" si="16"/>
        <v>0</v>
      </c>
      <c r="AA27" s="12">
        <f t="shared" si="16"/>
        <v>0.18181818181818182</v>
      </c>
      <c r="AB27" s="12">
        <f t="shared" si="16"/>
        <v>0.14285714285714285</v>
      </c>
      <c r="AC27" s="12">
        <f t="shared" si="16"/>
        <v>0.1111111111111111</v>
      </c>
      <c r="AD27" s="12" t="e">
        <f t="shared" si="16"/>
        <v>#DIV/0!</v>
      </c>
      <c r="AE27" s="12">
        <f t="shared" si="16"/>
        <v>0.33333333333333331</v>
      </c>
      <c r="AF27" s="12">
        <f t="shared" si="16"/>
        <v>0.11149825783972125</v>
      </c>
    </row>
    <row r="28" spans="1:32">
      <c r="A28" s="14" t="s">
        <v>3</v>
      </c>
      <c r="B28" s="12" t="e">
        <f t="shared" si="17"/>
        <v>#DIV/0!</v>
      </c>
      <c r="C28" s="12">
        <f t="shared" si="16"/>
        <v>0</v>
      </c>
      <c r="D28" s="12">
        <f t="shared" si="16"/>
        <v>0</v>
      </c>
      <c r="E28" s="12">
        <f t="shared" si="16"/>
        <v>0</v>
      </c>
      <c r="F28" s="12">
        <f t="shared" si="16"/>
        <v>0</v>
      </c>
      <c r="G28" s="12">
        <f t="shared" si="16"/>
        <v>0</v>
      </c>
      <c r="H28" s="12">
        <f t="shared" si="16"/>
        <v>0</v>
      </c>
      <c r="I28" s="12" t="e">
        <f t="shared" si="16"/>
        <v>#DIV/0!</v>
      </c>
      <c r="J28" s="12">
        <f t="shared" si="16"/>
        <v>0</v>
      </c>
      <c r="K28" s="12">
        <f t="shared" si="16"/>
        <v>8.3333333333333329E-2</v>
      </c>
      <c r="L28" s="12">
        <f t="shared" si="16"/>
        <v>0</v>
      </c>
      <c r="M28" s="12">
        <f t="shared" si="16"/>
        <v>7.6923076923076927E-2</v>
      </c>
      <c r="N28" s="12">
        <f t="shared" si="16"/>
        <v>0</v>
      </c>
      <c r="O28" s="12">
        <f t="shared" si="16"/>
        <v>0</v>
      </c>
      <c r="P28" s="12" t="e">
        <f t="shared" si="16"/>
        <v>#DIV/0!</v>
      </c>
      <c r="Q28" s="12">
        <f t="shared" si="16"/>
        <v>0</v>
      </c>
      <c r="R28" s="12">
        <f t="shared" si="16"/>
        <v>0</v>
      </c>
      <c r="S28" s="12">
        <f t="shared" si="16"/>
        <v>0</v>
      </c>
      <c r="T28" s="12">
        <f t="shared" si="16"/>
        <v>0</v>
      </c>
      <c r="U28" s="12">
        <f t="shared" si="16"/>
        <v>0</v>
      </c>
      <c r="V28" s="12" t="e">
        <f t="shared" si="16"/>
        <v>#DIV/0!</v>
      </c>
      <c r="W28" s="12" t="e">
        <f t="shared" si="16"/>
        <v>#DIV/0!</v>
      </c>
      <c r="X28" s="12">
        <f t="shared" si="16"/>
        <v>0</v>
      </c>
      <c r="Y28" s="12">
        <f t="shared" si="16"/>
        <v>0.125</v>
      </c>
      <c r="Z28" s="12">
        <f t="shared" si="16"/>
        <v>0.1</v>
      </c>
      <c r="AA28" s="12">
        <f t="shared" si="16"/>
        <v>0</v>
      </c>
      <c r="AB28" s="12">
        <f t="shared" si="16"/>
        <v>0</v>
      </c>
      <c r="AC28" s="12">
        <f t="shared" si="16"/>
        <v>0</v>
      </c>
      <c r="AD28" s="12" t="e">
        <f t="shared" si="16"/>
        <v>#DIV/0!</v>
      </c>
      <c r="AE28" s="12">
        <f t="shared" si="16"/>
        <v>0.1111111111111111</v>
      </c>
      <c r="AF28" s="12">
        <f t="shared" si="16"/>
        <v>2.0905923344947737E-2</v>
      </c>
    </row>
    <row r="29" spans="1:32">
      <c r="A29" s="17"/>
      <c r="B29" s="11" t="e">
        <f>SUM(B26:B28)</f>
        <v>#DIV/0!</v>
      </c>
      <c r="C29" s="11">
        <f t="shared" ref="C29:AF29" si="18">SUM(C26:C28)</f>
        <v>1</v>
      </c>
      <c r="D29" s="11">
        <f t="shared" si="18"/>
        <v>1</v>
      </c>
      <c r="E29" s="11">
        <f t="shared" si="18"/>
        <v>1</v>
      </c>
      <c r="F29" s="11">
        <f t="shared" si="18"/>
        <v>1</v>
      </c>
      <c r="G29" s="11">
        <f t="shared" si="18"/>
        <v>1</v>
      </c>
      <c r="H29" s="11">
        <f t="shared" si="18"/>
        <v>1</v>
      </c>
      <c r="I29" s="11" t="e">
        <f t="shared" si="18"/>
        <v>#DIV/0!</v>
      </c>
      <c r="J29" s="11">
        <f t="shared" si="18"/>
        <v>1</v>
      </c>
      <c r="K29" s="11">
        <f t="shared" si="18"/>
        <v>1</v>
      </c>
      <c r="L29" s="11">
        <f t="shared" si="18"/>
        <v>1</v>
      </c>
      <c r="M29" s="11">
        <f t="shared" si="18"/>
        <v>1</v>
      </c>
      <c r="N29" s="11">
        <f t="shared" si="18"/>
        <v>1</v>
      </c>
      <c r="O29" s="11">
        <f t="shared" si="18"/>
        <v>1</v>
      </c>
      <c r="P29" s="11" t="e">
        <f t="shared" si="18"/>
        <v>#DIV/0!</v>
      </c>
      <c r="Q29" s="11">
        <f t="shared" si="18"/>
        <v>1</v>
      </c>
      <c r="R29" s="11">
        <f t="shared" si="18"/>
        <v>1</v>
      </c>
      <c r="S29" s="11">
        <f t="shared" si="18"/>
        <v>1</v>
      </c>
      <c r="T29" s="11">
        <f t="shared" si="18"/>
        <v>1</v>
      </c>
      <c r="U29" s="11">
        <f t="shared" si="18"/>
        <v>1</v>
      </c>
      <c r="V29" s="11" t="e">
        <f t="shared" si="18"/>
        <v>#DIV/0!</v>
      </c>
      <c r="W29" s="11" t="e">
        <f t="shared" si="18"/>
        <v>#DIV/0!</v>
      </c>
      <c r="X29" s="11">
        <f t="shared" si="18"/>
        <v>1</v>
      </c>
      <c r="Y29" s="11">
        <f t="shared" si="18"/>
        <v>1</v>
      </c>
      <c r="Z29" s="11">
        <f t="shared" si="18"/>
        <v>1</v>
      </c>
      <c r="AA29" s="11">
        <f t="shared" si="18"/>
        <v>1</v>
      </c>
      <c r="AB29" s="11">
        <f t="shared" si="18"/>
        <v>1</v>
      </c>
      <c r="AC29" s="11">
        <f t="shared" si="18"/>
        <v>1</v>
      </c>
      <c r="AD29" s="11" t="e">
        <f t="shared" si="18"/>
        <v>#DIV/0!</v>
      </c>
      <c r="AE29" s="11">
        <f t="shared" si="18"/>
        <v>1</v>
      </c>
      <c r="AF29" s="11">
        <f t="shared" si="18"/>
        <v>1</v>
      </c>
    </row>
    <row r="30" spans="1:32">
      <c r="H30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6D18-1881-411B-B772-2DE96E1DBE7D}">
  <sheetPr codeName="Planilha4"/>
  <dimension ref="B1:O40"/>
  <sheetViews>
    <sheetView tabSelected="1" topLeftCell="A18" zoomScaleNormal="100" workbookViewId="0">
      <selection activeCell="O30" sqref="O30"/>
    </sheetView>
  </sheetViews>
  <sheetFormatPr defaultRowHeight="14.4"/>
  <cols>
    <col min="2" max="2" width="19" bestFit="1" customWidth="1"/>
    <col min="3" max="3" width="12" customWidth="1"/>
    <col min="4" max="4" width="12.77734375" customWidth="1"/>
    <col min="5" max="5" width="15.6640625" customWidth="1"/>
    <col min="6" max="6" width="12" customWidth="1"/>
    <col min="7" max="7" width="24.33203125" bestFit="1" customWidth="1"/>
    <col min="8" max="8" width="12" customWidth="1"/>
    <col min="9" max="9" width="12.21875" bestFit="1" customWidth="1"/>
    <col min="10" max="10" width="12" bestFit="1" customWidth="1"/>
    <col min="11" max="11" width="8.21875" bestFit="1" customWidth="1"/>
    <col min="12" max="12" width="6.6640625" bestFit="1" customWidth="1"/>
    <col min="13" max="13" width="7.77734375" bestFit="1" customWidth="1"/>
  </cols>
  <sheetData>
    <row r="1" spans="2:14" ht="5.4" customHeight="1" thickBot="1"/>
    <row r="2" spans="2:14" ht="18" thickBot="1">
      <c r="B2" s="181" t="s">
        <v>11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3"/>
    </row>
    <row r="3" spans="2:14" ht="18" thickBot="1">
      <c r="B3" s="110" t="s">
        <v>12</v>
      </c>
      <c r="C3" s="111" t="s">
        <v>13</v>
      </c>
      <c r="D3" s="59" t="s">
        <v>14</v>
      </c>
      <c r="E3" s="60" t="s">
        <v>15</v>
      </c>
      <c r="F3" s="61" t="s">
        <v>14</v>
      </c>
      <c r="G3" s="60" t="s">
        <v>27</v>
      </c>
      <c r="H3" s="61" t="s">
        <v>14</v>
      </c>
      <c r="I3" s="31" t="s">
        <v>16</v>
      </c>
      <c r="J3" s="62" t="s">
        <v>14</v>
      </c>
      <c r="K3" s="63" t="s">
        <v>3</v>
      </c>
      <c r="L3" s="64" t="s">
        <v>14</v>
      </c>
      <c r="M3" s="65" t="s">
        <v>17</v>
      </c>
    </row>
    <row r="4" spans="2:14" ht="18">
      <c r="B4" s="123" t="s">
        <v>18</v>
      </c>
      <c r="C4" s="124">
        <v>293</v>
      </c>
      <c r="D4" s="125">
        <v>0.43</v>
      </c>
      <c r="E4" s="126">
        <v>73</v>
      </c>
      <c r="F4" s="127">
        <v>0.11</v>
      </c>
      <c r="G4" s="126">
        <f>C4+E4</f>
        <v>366</v>
      </c>
      <c r="H4" s="128">
        <f>G4/M4</f>
        <v>0.54142011834319526</v>
      </c>
      <c r="I4" s="129">
        <v>273</v>
      </c>
      <c r="J4" s="130">
        <v>0.4</v>
      </c>
      <c r="K4" s="96">
        <v>37</v>
      </c>
      <c r="L4" s="131">
        <v>0.05</v>
      </c>
      <c r="M4" s="132">
        <v>676</v>
      </c>
    </row>
    <row r="5" spans="2:14" ht="18">
      <c r="B5" s="133" t="s">
        <v>19</v>
      </c>
      <c r="C5" s="115">
        <v>155</v>
      </c>
      <c r="D5" s="116">
        <v>0.41</v>
      </c>
      <c r="E5" s="117">
        <v>32</v>
      </c>
      <c r="F5" s="118">
        <v>0.09</v>
      </c>
      <c r="G5" s="117">
        <f t="shared" ref="G5:G11" si="0">C5+E5</f>
        <v>187</v>
      </c>
      <c r="H5" s="119">
        <f t="shared" ref="H5:H11" si="1">G5/M5</f>
        <v>0.49734042553191488</v>
      </c>
      <c r="I5" s="120">
        <v>181</v>
      </c>
      <c r="J5" s="121">
        <v>0.48</v>
      </c>
      <c r="K5" s="19">
        <v>8</v>
      </c>
      <c r="L5" s="122">
        <v>0.02</v>
      </c>
      <c r="M5" s="67">
        <v>376</v>
      </c>
    </row>
    <row r="6" spans="2:14" ht="18">
      <c r="B6" s="133" t="s">
        <v>20</v>
      </c>
      <c r="C6" s="115">
        <v>233</v>
      </c>
      <c r="D6" s="116">
        <v>0.55000000000000004</v>
      </c>
      <c r="E6" s="117">
        <v>23</v>
      </c>
      <c r="F6" s="118">
        <v>0.05</v>
      </c>
      <c r="G6" s="117">
        <f t="shared" si="0"/>
        <v>256</v>
      </c>
      <c r="H6" s="119">
        <f t="shared" si="1"/>
        <v>0.60093896713615025</v>
      </c>
      <c r="I6" s="120">
        <v>144</v>
      </c>
      <c r="J6" s="121">
        <v>0.34</v>
      </c>
      <c r="K6" s="19">
        <v>26</v>
      </c>
      <c r="L6" s="122">
        <v>0.06</v>
      </c>
      <c r="M6" s="67">
        <v>426</v>
      </c>
    </row>
    <row r="7" spans="2:14" ht="18">
      <c r="B7" s="133" t="s">
        <v>21</v>
      </c>
      <c r="C7" s="115">
        <v>130</v>
      </c>
      <c r="D7" s="116">
        <v>0.34</v>
      </c>
      <c r="E7" s="117">
        <v>11</v>
      </c>
      <c r="F7" s="118">
        <v>0.03</v>
      </c>
      <c r="G7" s="117">
        <f t="shared" si="0"/>
        <v>141</v>
      </c>
      <c r="H7" s="119">
        <f t="shared" si="1"/>
        <v>0.37301587301587302</v>
      </c>
      <c r="I7" s="120">
        <v>224</v>
      </c>
      <c r="J7" s="121">
        <v>0.59</v>
      </c>
      <c r="K7" s="19">
        <v>13</v>
      </c>
      <c r="L7" s="122">
        <v>0.03</v>
      </c>
      <c r="M7" s="67">
        <v>378</v>
      </c>
    </row>
    <row r="8" spans="2:14" ht="18">
      <c r="B8" s="133" t="s">
        <v>9</v>
      </c>
      <c r="C8" s="115">
        <v>106</v>
      </c>
      <c r="D8" s="116">
        <v>0.41</v>
      </c>
      <c r="E8" s="117">
        <v>0</v>
      </c>
      <c r="F8" s="118">
        <v>0</v>
      </c>
      <c r="G8" s="117">
        <f t="shared" si="0"/>
        <v>106</v>
      </c>
      <c r="H8" s="119">
        <f t="shared" si="1"/>
        <v>0.41085271317829458</v>
      </c>
      <c r="I8" s="120">
        <v>144</v>
      </c>
      <c r="J8" s="121">
        <v>0.56000000000000005</v>
      </c>
      <c r="K8" s="19">
        <v>8</v>
      </c>
      <c r="L8" s="122">
        <v>0.03</v>
      </c>
      <c r="M8" s="67">
        <v>258</v>
      </c>
    </row>
    <row r="9" spans="2:14" ht="18">
      <c r="B9" s="133" t="s">
        <v>22</v>
      </c>
      <c r="C9" s="115">
        <v>21</v>
      </c>
      <c r="D9" s="116">
        <v>0.36</v>
      </c>
      <c r="E9" s="117">
        <v>0</v>
      </c>
      <c r="F9" s="118">
        <v>0</v>
      </c>
      <c r="G9" s="117">
        <f>C9+E9</f>
        <v>21</v>
      </c>
      <c r="H9" s="119">
        <f>G9/M9</f>
        <v>0.3559322033898305</v>
      </c>
      <c r="I9" s="120">
        <v>35</v>
      </c>
      <c r="J9" s="121">
        <v>0.59</v>
      </c>
      <c r="K9" s="19">
        <v>3</v>
      </c>
      <c r="L9" s="122">
        <v>0.05</v>
      </c>
      <c r="M9" s="67">
        <v>59</v>
      </c>
    </row>
    <row r="10" spans="2:14" ht="18.600000000000001" thickBot="1">
      <c r="B10" s="134" t="s">
        <v>23</v>
      </c>
      <c r="C10" s="135">
        <v>4</v>
      </c>
      <c r="D10" s="136">
        <v>0.14000000000000001</v>
      </c>
      <c r="E10" s="137">
        <v>0</v>
      </c>
      <c r="F10" s="138">
        <v>0</v>
      </c>
      <c r="G10" s="137">
        <f>C10+E10</f>
        <v>4</v>
      </c>
      <c r="H10" s="139">
        <f>G10/M10</f>
        <v>0.13793103448275862</v>
      </c>
      <c r="I10" s="21">
        <v>24</v>
      </c>
      <c r="J10" s="22">
        <v>0.83</v>
      </c>
      <c r="K10" s="108">
        <v>1</v>
      </c>
      <c r="L10" s="140">
        <v>0.03</v>
      </c>
      <c r="M10" s="141">
        <v>29</v>
      </c>
    </row>
    <row r="11" spans="2:14" ht="18.600000000000001" thickBot="1">
      <c r="B11" s="80" t="s">
        <v>4</v>
      </c>
      <c r="C11" s="112">
        <f>SUM(C4:C10)</f>
        <v>942</v>
      </c>
      <c r="D11" s="113">
        <f>C11/M11</f>
        <v>0.42779291553133514</v>
      </c>
      <c r="E11" s="83">
        <f>SUM(E4:E10)</f>
        <v>139</v>
      </c>
      <c r="F11" s="114">
        <f>E11/M11</f>
        <v>6.3124432334241601E-2</v>
      </c>
      <c r="G11" s="83">
        <f t="shared" si="0"/>
        <v>1081</v>
      </c>
      <c r="H11" s="84">
        <f t="shared" si="1"/>
        <v>0.49091734786557673</v>
      </c>
      <c r="I11" s="85">
        <f>SUM(I4:I10)</f>
        <v>1025</v>
      </c>
      <c r="J11" s="86">
        <f>I11/M11</f>
        <v>0.46548592188919163</v>
      </c>
      <c r="K11" s="87">
        <f>SUM(K4:K10)</f>
        <v>96</v>
      </c>
      <c r="L11" s="88">
        <f>K11/M11</f>
        <v>4.3596730245231606E-2</v>
      </c>
      <c r="M11" s="24">
        <f>SUM(M4:M10)</f>
        <v>2202</v>
      </c>
      <c r="N11">
        <f>G11/129</f>
        <v>8.3798449612403108</v>
      </c>
    </row>
    <row r="12" spans="2:14" ht="15" thickBot="1"/>
    <row r="13" spans="2:14" ht="18" thickBot="1">
      <c r="B13" s="181" t="s">
        <v>28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3"/>
    </row>
    <row r="14" spans="2:14" ht="18" thickBot="1">
      <c r="B14" s="43"/>
      <c r="C14" s="44" t="s">
        <v>0</v>
      </c>
      <c r="D14" s="44" t="s">
        <v>14</v>
      </c>
      <c r="E14" s="44" t="s">
        <v>1</v>
      </c>
      <c r="F14" s="44" t="s">
        <v>14</v>
      </c>
      <c r="G14" s="44" t="s">
        <v>27</v>
      </c>
      <c r="H14" s="44" t="s">
        <v>14</v>
      </c>
      <c r="I14" s="44" t="s">
        <v>2</v>
      </c>
      <c r="J14" s="44" t="s">
        <v>14</v>
      </c>
      <c r="K14" s="44" t="s">
        <v>3</v>
      </c>
      <c r="L14" s="44" t="s">
        <v>14</v>
      </c>
      <c r="M14" s="45" t="s">
        <v>17</v>
      </c>
    </row>
    <row r="15" spans="2:14" ht="18">
      <c r="B15" s="34" t="s">
        <v>6</v>
      </c>
      <c r="C15" s="35">
        <v>400</v>
      </c>
      <c r="D15" s="36">
        <f t="shared" ref="D15:D22" si="2">C15/M15</f>
        <v>0.55555555555555558</v>
      </c>
      <c r="E15" s="37">
        <v>73</v>
      </c>
      <c r="F15" s="38">
        <f t="shared" ref="F15:F22" si="3">E15/M15</f>
        <v>0.10138888888888889</v>
      </c>
      <c r="G15" s="47">
        <f t="shared" ref="G15:G22" si="4">C15+E15</f>
        <v>473</v>
      </c>
      <c r="H15" s="33">
        <f t="shared" ref="H15:H22" si="5">G15/M15</f>
        <v>0.65694444444444444</v>
      </c>
      <c r="I15" s="39">
        <v>199</v>
      </c>
      <c r="J15" s="40">
        <f t="shared" ref="J15:J21" si="6">I15/M15</f>
        <v>0.27638888888888891</v>
      </c>
      <c r="K15" s="41">
        <v>48</v>
      </c>
      <c r="L15" s="42">
        <f t="shared" ref="L15:L22" si="7">K15/M15</f>
        <v>6.6666666666666666E-2</v>
      </c>
      <c r="M15" s="23">
        <f t="shared" ref="M15:M21" si="8">C15+E15+I15+K15</f>
        <v>720</v>
      </c>
    </row>
    <row r="16" spans="2:14" ht="18">
      <c r="B16" s="32" t="s">
        <v>8</v>
      </c>
      <c r="C16" s="27">
        <v>164</v>
      </c>
      <c r="D16" s="28">
        <f t="shared" si="2"/>
        <v>0.4606741573033708</v>
      </c>
      <c r="E16" s="29">
        <v>42</v>
      </c>
      <c r="F16" s="30">
        <f t="shared" si="3"/>
        <v>0.11797752808988764</v>
      </c>
      <c r="G16" s="46">
        <f t="shared" si="4"/>
        <v>206</v>
      </c>
      <c r="H16" s="33">
        <f t="shared" si="5"/>
        <v>0.5786516853932584</v>
      </c>
      <c r="I16" s="25">
        <v>139</v>
      </c>
      <c r="J16" s="26">
        <f t="shared" si="6"/>
        <v>0.3904494382022472</v>
      </c>
      <c r="K16" s="19">
        <v>11</v>
      </c>
      <c r="L16" s="20">
        <f t="shared" si="7"/>
        <v>3.0898876404494381E-2</v>
      </c>
      <c r="M16" s="23">
        <f t="shared" si="8"/>
        <v>356</v>
      </c>
    </row>
    <row r="17" spans="2:15" ht="18">
      <c r="B17" s="32" t="s">
        <v>7</v>
      </c>
      <c r="C17" s="27">
        <v>187</v>
      </c>
      <c r="D17" s="28">
        <f t="shared" si="2"/>
        <v>0.51092896174863389</v>
      </c>
      <c r="E17" s="29">
        <v>44</v>
      </c>
      <c r="F17" s="30">
        <f t="shared" si="3"/>
        <v>0.12021857923497267</v>
      </c>
      <c r="G17" s="46">
        <f t="shared" si="4"/>
        <v>231</v>
      </c>
      <c r="H17" s="33">
        <f t="shared" si="5"/>
        <v>0.63114754098360659</v>
      </c>
      <c r="I17" s="25">
        <v>125</v>
      </c>
      <c r="J17" s="26">
        <f t="shared" si="6"/>
        <v>0.34153005464480873</v>
      </c>
      <c r="K17" s="19">
        <v>10</v>
      </c>
      <c r="L17" s="20">
        <f t="shared" si="7"/>
        <v>2.7322404371584699E-2</v>
      </c>
      <c r="M17" s="23">
        <f t="shared" si="8"/>
        <v>366</v>
      </c>
    </row>
    <row r="18" spans="2:15" ht="18.600000000000001" thickBot="1">
      <c r="B18" s="68" t="s">
        <v>10</v>
      </c>
      <c r="C18" s="69">
        <v>152</v>
      </c>
      <c r="D18" s="70">
        <f t="shared" si="2"/>
        <v>0.46769230769230768</v>
      </c>
      <c r="E18" s="71">
        <v>11</v>
      </c>
      <c r="F18" s="72">
        <f t="shared" si="3"/>
        <v>3.3846153846153845E-2</v>
      </c>
      <c r="G18" s="73">
        <f t="shared" si="4"/>
        <v>163</v>
      </c>
      <c r="H18" s="74">
        <f t="shared" si="5"/>
        <v>0.50153846153846149</v>
      </c>
      <c r="I18" s="75">
        <v>140</v>
      </c>
      <c r="J18" s="76">
        <f t="shared" si="6"/>
        <v>0.43076923076923079</v>
      </c>
      <c r="K18" s="77">
        <v>22</v>
      </c>
      <c r="L18" s="78">
        <f t="shared" si="7"/>
        <v>6.7692307692307691E-2</v>
      </c>
      <c r="M18" s="79">
        <f t="shared" si="8"/>
        <v>325</v>
      </c>
    </row>
    <row r="19" spans="2:15" ht="18">
      <c r="B19" s="89" t="s">
        <v>9</v>
      </c>
      <c r="C19" s="90">
        <v>83</v>
      </c>
      <c r="D19" s="91">
        <f t="shared" si="2"/>
        <v>0.35021097046413502</v>
      </c>
      <c r="E19" s="92">
        <v>21</v>
      </c>
      <c r="F19" s="93">
        <f t="shared" si="3"/>
        <v>8.8607594936708861E-2</v>
      </c>
      <c r="G19" s="47">
        <f t="shared" si="4"/>
        <v>104</v>
      </c>
      <c r="H19" s="66">
        <f t="shared" si="5"/>
        <v>0.43881856540084391</v>
      </c>
      <c r="I19" s="94">
        <v>124</v>
      </c>
      <c r="J19" s="95">
        <f t="shared" si="6"/>
        <v>0.52320675105485237</v>
      </c>
      <c r="K19" s="96">
        <v>9</v>
      </c>
      <c r="L19" s="97">
        <f t="shared" si="7"/>
        <v>3.7974683544303799E-2</v>
      </c>
      <c r="M19" s="98">
        <f t="shared" si="8"/>
        <v>237</v>
      </c>
    </row>
    <row r="20" spans="2:15" ht="18">
      <c r="B20" s="32" t="s">
        <v>24</v>
      </c>
      <c r="C20" s="27">
        <v>37</v>
      </c>
      <c r="D20" s="28">
        <f>C20/M20</f>
        <v>0.38947368421052631</v>
      </c>
      <c r="E20" s="29">
        <v>0</v>
      </c>
      <c r="F20" s="30">
        <f t="shared" si="3"/>
        <v>0</v>
      </c>
      <c r="G20" s="46">
        <f t="shared" si="4"/>
        <v>37</v>
      </c>
      <c r="H20" s="33">
        <f t="shared" si="5"/>
        <v>0.38947368421052631</v>
      </c>
      <c r="I20" s="25">
        <v>48</v>
      </c>
      <c r="J20" s="26">
        <f t="shared" si="6"/>
        <v>0.50526315789473686</v>
      </c>
      <c r="K20" s="19">
        <v>10</v>
      </c>
      <c r="L20" s="20">
        <f>K20/M20</f>
        <v>0.10526315789473684</v>
      </c>
      <c r="M20" s="23">
        <f t="shared" si="8"/>
        <v>95</v>
      </c>
    </row>
    <row r="21" spans="2:15" ht="18.600000000000001" thickBot="1">
      <c r="B21" s="99" t="s">
        <v>25</v>
      </c>
      <c r="C21" s="100">
        <v>1</v>
      </c>
      <c r="D21" s="101">
        <f>C21/M21</f>
        <v>1.8518518518518517E-2</v>
      </c>
      <c r="E21" s="102">
        <v>0</v>
      </c>
      <c r="F21" s="103">
        <f t="shared" si="3"/>
        <v>0</v>
      </c>
      <c r="G21" s="104">
        <f t="shared" si="4"/>
        <v>1</v>
      </c>
      <c r="H21" s="105">
        <f t="shared" si="5"/>
        <v>1.8518518518518517E-2</v>
      </c>
      <c r="I21" s="106">
        <v>53</v>
      </c>
      <c r="J21" s="107">
        <f t="shared" si="6"/>
        <v>0.98148148148148151</v>
      </c>
      <c r="K21" s="108">
        <v>0</v>
      </c>
      <c r="L21" s="109">
        <f>K21/M21</f>
        <v>0</v>
      </c>
      <c r="M21" s="24">
        <f t="shared" si="8"/>
        <v>54</v>
      </c>
    </row>
    <row r="22" spans="2:15" ht="18.600000000000001" thickBot="1">
      <c r="B22" s="80" t="s">
        <v>4</v>
      </c>
      <c r="C22" s="81">
        <f>SUM(C15:C21)</f>
        <v>1024</v>
      </c>
      <c r="D22" s="82">
        <f t="shared" si="2"/>
        <v>0.47561542034370646</v>
      </c>
      <c r="E22" s="83">
        <f>SUM(E15:E21)</f>
        <v>191</v>
      </c>
      <c r="F22" s="84">
        <f t="shared" si="3"/>
        <v>8.8713423130515556E-2</v>
      </c>
      <c r="G22" s="83">
        <f t="shared" si="4"/>
        <v>1215</v>
      </c>
      <c r="H22" s="84">
        <f t="shared" si="5"/>
        <v>0.56432884347422196</v>
      </c>
      <c r="I22" s="85">
        <f>SUM(I15:I21)</f>
        <v>828</v>
      </c>
      <c r="J22" s="86">
        <f>I22/M22</f>
        <v>0.3845796562935439</v>
      </c>
      <c r="K22" s="87">
        <f>SUM(K15:K21)</f>
        <v>110</v>
      </c>
      <c r="L22" s="88">
        <f t="shared" si="7"/>
        <v>5.1091500232234091E-2</v>
      </c>
      <c r="M22" s="24">
        <f>SUM(M15:M21)</f>
        <v>2153</v>
      </c>
      <c r="N22">
        <f>G22/129</f>
        <v>9.4186046511627914</v>
      </c>
    </row>
    <row r="23" spans="2:15" ht="15" thickBot="1"/>
    <row r="24" spans="2:15" ht="18" thickBot="1">
      <c r="B24" s="181" t="s">
        <v>68</v>
      </c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3"/>
    </row>
    <row r="25" spans="2:15" ht="18" thickBot="1">
      <c r="B25" s="43"/>
      <c r="C25" s="44" t="s">
        <v>0</v>
      </c>
      <c r="D25" s="44" t="s">
        <v>14</v>
      </c>
      <c r="E25" s="44" t="s">
        <v>1</v>
      </c>
      <c r="F25" s="44" t="s">
        <v>14</v>
      </c>
      <c r="G25" s="44" t="s">
        <v>27</v>
      </c>
      <c r="H25" s="44" t="s">
        <v>14</v>
      </c>
      <c r="I25" s="44" t="s">
        <v>2</v>
      </c>
      <c r="J25" s="44" t="s">
        <v>14</v>
      </c>
      <c r="K25" s="44" t="s">
        <v>3</v>
      </c>
      <c r="L25" s="44" t="s">
        <v>14</v>
      </c>
      <c r="M25" s="45" t="s">
        <v>17</v>
      </c>
    </row>
    <row r="26" spans="2:15" ht="18">
      <c r="B26" s="34" t="s">
        <v>6</v>
      </c>
      <c r="C26" s="35">
        <v>503</v>
      </c>
      <c r="D26" s="36">
        <f>C26/M26</f>
        <v>0.61566707466340265</v>
      </c>
      <c r="E26" s="37">
        <v>25</v>
      </c>
      <c r="F26" s="38">
        <f t="shared" ref="F26:F33" si="9">E26/M26</f>
        <v>3.0599755201958383E-2</v>
      </c>
      <c r="G26" s="47"/>
      <c r="H26" s="33">
        <f t="shared" ref="H26:H32" si="10">G26/M26</f>
        <v>0</v>
      </c>
      <c r="I26" s="39">
        <v>240</v>
      </c>
      <c r="J26" s="40">
        <f t="shared" ref="J26:J32" si="11">I26/M26</f>
        <v>0.29375764993880049</v>
      </c>
      <c r="K26" s="41">
        <v>49</v>
      </c>
      <c r="L26" s="42">
        <f t="shared" ref="L26:L30" si="12">K26/M26</f>
        <v>5.9975520195838433E-2</v>
      </c>
      <c r="M26" s="23">
        <f t="shared" ref="M26:M32" si="13">C26+E26+I26+K26</f>
        <v>817</v>
      </c>
    </row>
    <row r="27" spans="2:15" ht="18">
      <c r="B27" s="32" t="s">
        <v>8</v>
      </c>
      <c r="C27" s="27">
        <v>242</v>
      </c>
      <c r="D27" s="28">
        <f>C27/M27</f>
        <v>0.55504587155963303</v>
      </c>
      <c r="E27" s="29">
        <v>27</v>
      </c>
      <c r="F27" s="30">
        <f t="shared" si="9"/>
        <v>6.1926605504587159E-2</v>
      </c>
      <c r="G27" s="46"/>
      <c r="H27" s="33">
        <f t="shared" si="10"/>
        <v>0</v>
      </c>
      <c r="I27" s="25">
        <v>147</v>
      </c>
      <c r="J27" s="26">
        <f t="shared" si="11"/>
        <v>0.33715596330275227</v>
      </c>
      <c r="K27" s="19">
        <v>20</v>
      </c>
      <c r="L27" s="20">
        <f t="shared" si="12"/>
        <v>4.5871559633027525E-2</v>
      </c>
      <c r="M27" s="23">
        <f t="shared" si="13"/>
        <v>436</v>
      </c>
    </row>
    <row r="28" spans="2:15" ht="18">
      <c r="B28" s="32" t="s">
        <v>7</v>
      </c>
      <c r="C28" s="27">
        <v>254</v>
      </c>
      <c r="D28" s="28">
        <f t="shared" ref="D28:D32" si="14">C28/M28</f>
        <v>0.65463917525773196</v>
      </c>
      <c r="E28" s="29">
        <v>25</v>
      </c>
      <c r="F28" s="30">
        <f t="shared" si="9"/>
        <v>6.4432989690721643E-2</v>
      </c>
      <c r="G28" s="46"/>
      <c r="H28" s="33">
        <f t="shared" si="10"/>
        <v>0</v>
      </c>
      <c r="I28" s="25">
        <v>87</v>
      </c>
      <c r="J28" s="26">
        <f t="shared" si="11"/>
        <v>0.22422680412371135</v>
      </c>
      <c r="K28" s="19">
        <v>22</v>
      </c>
      <c r="L28" s="20">
        <f t="shared" si="12"/>
        <v>5.6701030927835051E-2</v>
      </c>
      <c r="M28" s="23">
        <f>C28+E28+I28+K28</f>
        <v>388</v>
      </c>
    </row>
    <row r="29" spans="2:15" ht="18.600000000000001" thickBot="1">
      <c r="B29" s="68" t="s">
        <v>10</v>
      </c>
      <c r="C29" s="69">
        <v>186</v>
      </c>
      <c r="D29" s="70">
        <f t="shared" si="14"/>
        <v>0.42272727272727273</v>
      </c>
      <c r="E29" s="71">
        <v>55</v>
      </c>
      <c r="F29" s="72">
        <f t="shared" si="9"/>
        <v>0.125</v>
      </c>
      <c r="G29" s="73"/>
      <c r="H29" s="74">
        <f t="shared" si="10"/>
        <v>0</v>
      </c>
      <c r="I29" s="75">
        <v>174</v>
      </c>
      <c r="J29" s="76">
        <f t="shared" si="11"/>
        <v>0.39545454545454545</v>
      </c>
      <c r="K29" s="77">
        <v>25</v>
      </c>
      <c r="L29" s="78">
        <f t="shared" si="12"/>
        <v>5.6818181818181816E-2</v>
      </c>
      <c r="M29" s="79">
        <f>C29+E29+I29+K29</f>
        <v>440</v>
      </c>
      <c r="O29">
        <f>C33-G22</f>
        <v>129</v>
      </c>
    </row>
    <row r="30" spans="2:15" ht="18">
      <c r="B30" s="89" t="s">
        <v>9</v>
      </c>
      <c r="C30" s="90">
        <v>122</v>
      </c>
      <c r="D30" s="91">
        <f t="shared" si="14"/>
        <v>0.48031496062992124</v>
      </c>
      <c r="E30" s="92">
        <v>39</v>
      </c>
      <c r="F30" s="93">
        <f t="shared" si="9"/>
        <v>0.15354330708661418</v>
      </c>
      <c r="G30" s="47"/>
      <c r="H30" s="66">
        <f t="shared" si="10"/>
        <v>0</v>
      </c>
      <c r="I30" s="94">
        <v>85</v>
      </c>
      <c r="J30" s="95">
        <f t="shared" si="11"/>
        <v>0.3346456692913386</v>
      </c>
      <c r="K30" s="96">
        <v>8</v>
      </c>
      <c r="L30" s="97">
        <f t="shared" si="12"/>
        <v>3.1496062992125984E-2</v>
      </c>
      <c r="M30" s="98">
        <f t="shared" si="13"/>
        <v>254</v>
      </c>
    </row>
    <row r="31" spans="2:15" ht="18">
      <c r="B31" s="32" t="s">
        <v>24</v>
      </c>
      <c r="C31" s="27">
        <v>37</v>
      </c>
      <c r="D31" s="28">
        <f t="shared" si="14"/>
        <v>0.30578512396694213</v>
      </c>
      <c r="E31" s="29">
        <v>16</v>
      </c>
      <c r="F31" s="30">
        <f t="shared" si="9"/>
        <v>0.13223140495867769</v>
      </c>
      <c r="G31" s="46"/>
      <c r="H31" s="33">
        <f t="shared" si="10"/>
        <v>0</v>
      </c>
      <c r="I31" s="25">
        <v>64</v>
      </c>
      <c r="J31" s="26">
        <f t="shared" si="11"/>
        <v>0.52892561983471076</v>
      </c>
      <c r="K31" s="19">
        <v>4</v>
      </c>
      <c r="L31" s="20">
        <f>K31/M31</f>
        <v>3.3057851239669422E-2</v>
      </c>
      <c r="M31" s="23">
        <f t="shared" si="13"/>
        <v>121</v>
      </c>
    </row>
    <row r="32" spans="2:15" ht="18.600000000000001" thickBot="1">
      <c r="B32" s="99" t="s">
        <v>25</v>
      </c>
      <c r="C32" s="100">
        <v>0</v>
      </c>
      <c r="D32" s="101">
        <f t="shared" si="14"/>
        <v>0</v>
      </c>
      <c r="E32" s="102">
        <v>0</v>
      </c>
      <c r="F32" s="103">
        <f t="shared" si="9"/>
        <v>0</v>
      </c>
      <c r="G32" s="104"/>
      <c r="H32" s="105">
        <f t="shared" si="10"/>
        <v>0</v>
      </c>
      <c r="I32" s="106">
        <v>1</v>
      </c>
      <c r="J32" s="107">
        <f t="shared" si="11"/>
        <v>1</v>
      </c>
      <c r="K32" s="108">
        <v>0</v>
      </c>
      <c r="L32" s="109">
        <f>K32/M32</f>
        <v>0</v>
      </c>
      <c r="M32" s="24">
        <f t="shared" si="13"/>
        <v>1</v>
      </c>
    </row>
    <row r="33" spans="2:13" ht="18.600000000000001" thickBot="1">
      <c r="B33" s="80" t="s">
        <v>4</v>
      </c>
      <c r="C33" s="81">
        <f>SUM(C26:C32)</f>
        <v>1344</v>
      </c>
      <c r="D33" s="82">
        <f t="shared" ref="D33" si="15">C33/M33</f>
        <v>0.54700854700854706</v>
      </c>
      <c r="E33" s="83">
        <f>SUM(E26:E32)</f>
        <v>187</v>
      </c>
      <c r="F33" s="84">
        <f t="shared" si="9"/>
        <v>7.6109076109076107E-2</v>
      </c>
      <c r="G33" s="83"/>
      <c r="H33" s="84">
        <f>G33/M33</f>
        <v>0</v>
      </c>
      <c r="I33" s="85">
        <f>SUM(I26:I32)</f>
        <v>798</v>
      </c>
      <c r="J33" s="86">
        <f>I33/M33</f>
        <v>0.3247863247863248</v>
      </c>
      <c r="K33" s="87">
        <f>SUM(K26:K32)</f>
        <v>128</v>
      </c>
      <c r="L33" s="88">
        <f t="shared" ref="L33" si="16">K33/M33</f>
        <v>5.2096052096052094E-2</v>
      </c>
      <c r="M33" s="24">
        <f>SUM(M26:M32)</f>
        <v>2457</v>
      </c>
    </row>
    <row r="34" spans="2:13">
      <c r="I34">
        <f>I33+E33</f>
        <v>985</v>
      </c>
    </row>
    <row r="35" spans="2:13" ht="15" thickBot="1"/>
    <row r="36" spans="2:13" ht="18" thickBot="1">
      <c r="B36" s="181" t="s">
        <v>29</v>
      </c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3"/>
    </row>
    <row r="37" spans="2:13" ht="18.600000000000001" thickBot="1">
      <c r="B37" s="48" t="s">
        <v>26</v>
      </c>
      <c r="C37" s="49">
        <f t="shared" ref="C37:M37" si="17">C22-C11</f>
        <v>82</v>
      </c>
      <c r="D37" s="50">
        <f t="shared" si="17"/>
        <v>4.7822504812371325E-2</v>
      </c>
      <c r="E37" s="51">
        <f t="shared" si="17"/>
        <v>52</v>
      </c>
      <c r="F37" s="52">
        <f t="shared" si="17"/>
        <v>2.5588990796273955E-2</v>
      </c>
      <c r="G37" s="51">
        <f t="shared" si="17"/>
        <v>134</v>
      </c>
      <c r="H37" s="52">
        <f t="shared" si="17"/>
        <v>7.3411495608645239E-2</v>
      </c>
      <c r="I37" s="53">
        <f t="shared" si="17"/>
        <v>-197</v>
      </c>
      <c r="J37" s="54">
        <f t="shared" si="17"/>
        <v>-8.0906265595647731E-2</v>
      </c>
      <c r="K37" s="55">
        <f t="shared" si="17"/>
        <v>14</v>
      </c>
      <c r="L37" s="56">
        <f t="shared" si="17"/>
        <v>7.494769987002485E-3</v>
      </c>
      <c r="M37" s="57">
        <f t="shared" si="17"/>
        <v>-49</v>
      </c>
    </row>
    <row r="38" spans="2:13" ht="15" thickBot="1"/>
    <row r="39" spans="2:13" ht="18" thickBot="1">
      <c r="B39" s="181" t="s">
        <v>69</v>
      </c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3"/>
    </row>
    <row r="40" spans="2:13" ht="18.600000000000001" thickBot="1">
      <c r="B40" s="48" t="s">
        <v>70</v>
      </c>
      <c r="C40" s="49">
        <f>C33-G22</f>
        <v>129</v>
      </c>
      <c r="D40" s="50">
        <f>C40/C33</f>
        <v>9.5982142857142863E-2</v>
      </c>
      <c r="E40" s="51">
        <f>(E33+I33)-I22</f>
        <v>157</v>
      </c>
      <c r="F40" s="52">
        <f>E40/I34</f>
        <v>0.15939086294416244</v>
      </c>
      <c r="G40" s="51" t="e">
        <f t="shared" ref="G40:M40" si="18">G25-G14</f>
        <v>#VALUE!</v>
      </c>
      <c r="H40" s="52" t="e">
        <f t="shared" si="18"/>
        <v>#VALUE!</v>
      </c>
      <c r="I40" s="53" t="e">
        <f t="shared" si="18"/>
        <v>#VALUE!</v>
      </c>
      <c r="J40" s="54" t="e">
        <f t="shared" si="18"/>
        <v>#VALUE!</v>
      </c>
      <c r="K40" s="55" t="e">
        <f t="shared" si="18"/>
        <v>#VALUE!</v>
      </c>
      <c r="L40" s="56" t="e">
        <f t="shared" si="18"/>
        <v>#VALUE!</v>
      </c>
      <c r="M40" s="57" t="e">
        <f t="shared" si="18"/>
        <v>#VALUE!</v>
      </c>
    </row>
  </sheetData>
  <mergeCells count="5">
    <mergeCell ref="B2:M2"/>
    <mergeCell ref="B13:M13"/>
    <mergeCell ref="B36:M36"/>
    <mergeCell ref="B24:M24"/>
    <mergeCell ref="B39:M39"/>
  </mergeCells>
  <pageMargins left="0.511811024" right="0.511811024" top="0.78740157499999996" bottom="0.78740157499999996" header="0.31496062000000002" footer="0.31496062000000002"/>
  <ignoredErrors>
    <ignoredError sqref="D22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3918-770E-4EBB-9AFE-5E919900D99F}">
  <sheetPr codeName="Planilha5"/>
  <dimension ref="A1:W12"/>
  <sheetViews>
    <sheetView workbookViewId="0">
      <selection activeCell="B17" sqref="B17"/>
    </sheetView>
  </sheetViews>
  <sheetFormatPr defaultRowHeight="14.4"/>
  <cols>
    <col min="1" max="1" width="14.6640625" bestFit="1" customWidth="1"/>
    <col min="3" max="3" width="11.109375" bestFit="1" customWidth="1"/>
    <col min="19" max="20" width="8.88671875" style="142"/>
    <col min="21" max="21" width="11.5546875" style="142" bestFit="1" customWidth="1"/>
    <col min="22" max="22" width="13.109375" bestFit="1" customWidth="1"/>
  </cols>
  <sheetData>
    <row r="1" spans="1:23">
      <c r="A1" s="150" t="s">
        <v>31</v>
      </c>
      <c r="B1" s="3">
        <v>46174</v>
      </c>
      <c r="C1" s="3">
        <v>46175</v>
      </c>
      <c r="D1" s="3">
        <v>46176</v>
      </c>
      <c r="E1" s="3">
        <v>46177</v>
      </c>
      <c r="F1" s="3">
        <v>46178</v>
      </c>
      <c r="G1" s="3">
        <v>46179</v>
      </c>
      <c r="H1" s="3">
        <v>46180</v>
      </c>
      <c r="I1" s="3">
        <v>46181</v>
      </c>
      <c r="J1" s="3">
        <v>46182</v>
      </c>
      <c r="K1" s="3">
        <v>46183</v>
      </c>
      <c r="L1" s="3">
        <v>46184</v>
      </c>
      <c r="M1" s="3">
        <v>46185</v>
      </c>
      <c r="N1" s="3">
        <v>46186</v>
      </c>
      <c r="O1" s="3">
        <v>46187</v>
      </c>
      <c r="P1" s="3">
        <v>46188</v>
      </c>
      <c r="Q1" s="3">
        <v>46189</v>
      </c>
      <c r="R1" s="3">
        <v>46190</v>
      </c>
      <c r="S1" s="143" t="s">
        <v>4</v>
      </c>
      <c r="T1" s="143" t="s">
        <v>30</v>
      </c>
      <c r="U1" s="143" t="s">
        <v>47</v>
      </c>
    </row>
    <row r="2" spans="1:23">
      <c r="A2" s="14" t="s">
        <v>0</v>
      </c>
      <c r="B2" s="4">
        <v>15</v>
      </c>
      <c r="C2" s="4">
        <v>15</v>
      </c>
      <c r="D2" s="4">
        <v>19</v>
      </c>
      <c r="E2" s="4">
        <v>13</v>
      </c>
      <c r="F2" s="4">
        <v>13</v>
      </c>
      <c r="G2" s="4">
        <v>17</v>
      </c>
      <c r="H2" s="4">
        <v>0</v>
      </c>
      <c r="I2" s="4">
        <v>12</v>
      </c>
      <c r="J2" s="4">
        <v>16</v>
      </c>
      <c r="K2" s="4">
        <v>16</v>
      </c>
      <c r="L2" s="4">
        <v>15</v>
      </c>
      <c r="M2" s="4">
        <v>13</v>
      </c>
      <c r="N2" s="4">
        <v>15</v>
      </c>
      <c r="O2" s="4">
        <v>0</v>
      </c>
      <c r="P2" s="4">
        <v>9</v>
      </c>
      <c r="Q2" s="4">
        <v>20</v>
      </c>
      <c r="R2" s="4">
        <v>11</v>
      </c>
      <c r="S2" s="143">
        <f>SUM(B2:R2)</f>
        <v>219</v>
      </c>
      <c r="T2" s="143">
        <f>S2+S3</f>
        <v>261</v>
      </c>
      <c r="U2" s="149">
        <f>T2/T6</f>
        <v>0.69599999999999995</v>
      </c>
    </row>
    <row r="3" spans="1:23">
      <c r="A3" s="14" t="s">
        <v>1</v>
      </c>
      <c r="B3" s="4">
        <v>3</v>
      </c>
      <c r="C3" s="4">
        <v>3</v>
      </c>
      <c r="D3" s="4">
        <v>3</v>
      </c>
      <c r="E3" s="4">
        <v>1</v>
      </c>
      <c r="F3" s="4">
        <v>3</v>
      </c>
      <c r="G3" s="4">
        <v>5</v>
      </c>
      <c r="H3" s="4">
        <v>0</v>
      </c>
      <c r="I3" s="4">
        <v>1</v>
      </c>
      <c r="J3" s="4">
        <v>4</v>
      </c>
      <c r="K3" s="4">
        <v>3</v>
      </c>
      <c r="L3" s="4">
        <v>4</v>
      </c>
      <c r="M3" s="4">
        <v>5</v>
      </c>
      <c r="N3" s="4">
        <v>1</v>
      </c>
      <c r="O3" s="4">
        <v>0</v>
      </c>
      <c r="P3" s="4">
        <v>1</v>
      </c>
      <c r="Q3" s="4">
        <v>1</v>
      </c>
      <c r="R3" s="4">
        <v>4</v>
      </c>
      <c r="S3" s="143">
        <f t="shared" ref="S3:S6" si="0">SUM(B3:R3)</f>
        <v>42</v>
      </c>
      <c r="T3" s="143">
        <f>S4</f>
        <v>114</v>
      </c>
      <c r="U3" s="149">
        <f>T3/T6</f>
        <v>0.30399999999999999</v>
      </c>
    </row>
    <row r="4" spans="1:23">
      <c r="A4" s="14" t="s">
        <v>2</v>
      </c>
      <c r="B4" s="4">
        <v>8</v>
      </c>
      <c r="C4" s="4">
        <v>8</v>
      </c>
      <c r="D4" s="4">
        <v>15</v>
      </c>
      <c r="E4" s="4">
        <v>12</v>
      </c>
      <c r="F4" s="4">
        <v>9</v>
      </c>
      <c r="G4" s="4">
        <v>11</v>
      </c>
      <c r="H4" s="4">
        <v>0</v>
      </c>
      <c r="I4" s="4">
        <v>3</v>
      </c>
      <c r="J4" s="4">
        <v>1</v>
      </c>
      <c r="K4" s="4">
        <v>7</v>
      </c>
      <c r="L4" s="4">
        <v>7</v>
      </c>
      <c r="M4" s="4">
        <v>0</v>
      </c>
      <c r="N4" s="4">
        <v>1</v>
      </c>
      <c r="O4" s="4">
        <v>0</v>
      </c>
      <c r="P4" s="4">
        <v>9</v>
      </c>
      <c r="Q4" s="4">
        <v>15</v>
      </c>
      <c r="R4" s="4">
        <v>8</v>
      </c>
      <c r="S4" s="143">
        <f t="shared" si="0"/>
        <v>114</v>
      </c>
      <c r="T4" s="143"/>
      <c r="U4" s="143"/>
    </row>
    <row r="5" spans="1:23">
      <c r="A5" s="14" t="s">
        <v>3</v>
      </c>
      <c r="B5" s="4">
        <v>1</v>
      </c>
      <c r="C5" s="4">
        <v>6</v>
      </c>
      <c r="D5" s="4">
        <v>3</v>
      </c>
      <c r="E5" s="4">
        <v>0</v>
      </c>
      <c r="F5" s="4">
        <v>0</v>
      </c>
      <c r="G5" s="4">
        <v>0</v>
      </c>
      <c r="H5" s="4">
        <v>0</v>
      </c>
      <c r="I5" s="4">
        <v>2</v>
      </c>
      <c r="J5" s="4">
        <v>3</v>
      </c>
      <c r="K5" s="4">
        <v>3</v>
      </c>
      <c r="L5" s="4">
        <v>2</v>
      </c>
      <c r="M5" s="4">
        <v>1</v>
      </c>
      <c r="N5" s="4">
        <v>0</v>
      </c>
      <c r="O5" s="4">
        <v>0</v>
      </c>
      <c r="P5" s="4">
        <v>2</v>
      </c>
      <c r="Q5" s="4">
        <v>3</v>
      </c>
      <c r="R5" s="4">
        <v>2</v>
      </c>
      <c r="S5" s="143">
        <f t="shared" si="0"/>
        <v>28</v>
      </c>
      <c r="T5" s="143"/>
      <c r="U5" s="143"/>
      <c r="V5" t="s">
        <v>48</v>
      </c>
      <c r="W5" s="142" t="s">
        <v>14</v>
      </c>
    </row>
    <row r="6" spans="1:23">
      <c r="B6" s="142">
        <f>SUM(B2:B5)</f>
        <v>27</v>
      </c>
      <c r="C6" s="142">
        <f t="shared" ref="C6:R6" si="1">SUM(C2:C5)</f>
        <v>32</v>
      </c>
      <c r="D6" s="142">
        <f t="shared" si="1"/>
        <v>40</v>
      </c>
      <c r="E6" s="142">
        <f t="shared" si="1"/>
        <v>26</v>
      </c>
      <c r="F6" s="142">
        <f t="shared" si="1"/>
        <v>25</v>
      </c>
      <c r="G6" s="142">
        <f t="shared" si="1"/>
        <v>33</v>
      </c>
      <c r="H6" s="142">
        <f t="shared" si="1"/>
        <v>0</v>
      </c>
      <c r="I6" s="142">
        <f t="shared" si="1"/>
        <v>18</v>
      </c>
      <c r="J6" s="142">
        <f t="shared" si="1"/>
        <v>24</v>
      </c>
      <c r="K6" s="142">
        <f t="shared" si="1"/>
        <v>29</v>
      </c>
      <c r="L6" s="142">
        <f t="shared" si="1"/>
        <v>28</v>
      </c>
      <c r="M6" s="142">
        <f t="shared" si="1"/>
        <v>19</v>
      </c>
      <c r="N6" s="142">
        <f t="shared" si="1"/>
        <v>17</v>
      </c>
      <c r="O6" s="142">
        <f t="shared" si="1"/>
        <v>0</v>
      </c>
      <c r="P6" s="142">
        <f t="shared" si="1"/>
        <v>21</v>
      </c>
      <c r="Q6" s="142">
        <f t="shared" si="1"/>
        <v>39</v>
      </c>
      <c r="R6" s="142">
        <f t="shared" si="1"/>
        <v>25</v>
      </c>
      <c r="S6" s="143">
        <f t="shared" si="0"/>
        <v>403</v>
      </c>
      <c r="T6" s="143">
        <f>SUM(T2:T5)</f>
        <v>375</v>
      </c>
      <c r="U6" s="143"/>
      <c r="V6" s="143">
        <f>S12-S6</f>
        <v>55</v>
      </c>
      <c r="W6" s="149">
        <f>V6/S12</f>
        <v>0.12008733624454149</v>
      </c>
    </row>
    <row r="7" spans="1:23">
      <c r="A7" s="150" t="s">
        <v>31</v>
      </c>
      <c r="B7" s="145">
        <v>46204</v>
      </c>
      <c r="C7" s="145">
        <v>46205</v>
      </c>
      <c r="D7" s="145">
        <v>46206</v>
      </c>
      <c r="E7" s="145">
        <v>46207</v>
      </c>
      <c r="F7" s="145">
        <v>46208</v>
      </c>
      <c r="G7" s="145">
        <v>46209</v>
      </c>
      <c r="H7" s="145">
        <v>46210</v>
      </c>
      <c r="I7" s="145">
        <v>46211</v>
      </c>
      <c r="J7" s="145">
        <v>46212</v>
      </c>
      <c r="K7" s="145">
        <v>46213</v>
      </c>
      <c r="L7" s="145">
        <v>46214</v>
      </c>
      <c r="M7" s="145">
        <v>46215</v>
      </c>
      <c r="N7" s="145">
        <v>46216</v>
      </c>
      <c r="O7" s="145">
        <v>46217</v>
      </c>
      <c r="P7" s="145">
        <v>46218</v>
      </c>
      <c r="Q7" s="145">
        <v>46219</v>
      </c>
      <c r="R7" s="145">
        <v>46220</v>
      </c>
      <c r="S7" s="143" t="s">
        <v>4</v>
      </c>
      <c r="T7" s="143" t="s">
        <v>30</v>
      </c>
      <c r="U7" s="143" t="s">
        <v>47</v>
      </c>
      <c r="V7" s="143">
        <f>T8-T2</f>
        <v>8</v>
      </c>
      <c r="W7" s="149">
        <f>V7/T8</f>
        <v>2.9739776951672861E-2</v>
      </c>
    </row>
    <row r="8" spans="1:23">
      <c r="A8" s="14" t="s">
        <v>0</v>
      </c>
      <c r="B8" s="148">
        <v>18</v>
      </c>
      <c r="C8" s="148">
        <v>29</v>
      </c>
      <c r="D8" s="148">
        <v>15</v>
      </c>
      <c r="E8" s="148">
        <v>12</v>
      </c>
      <c r="F8" s="148">
        <v>10</v>
      </c>
      <c r="G8" s="148">
        <v>16</v>
      </c>
      <c r="H8" s="148">
        <v>19</v>
      </c>
      <c r="I8" s="148">
        <v>20</v>
      </c>
      <c r="J8" s="148">
        <v>13</v>
      </c>
      <c r="K8" s="148">
        <v>18</v>
      </c>
      <c r="L8" s="148">
        <v>15</v>
      </c>
      <c r="M8" s="148"/>
      <c r="N8" s="148">
        <v>7</v>
      </c>
      <c r="O8" s="148">
        <v>20</v>
      </c>
      <c r="P8" s="148">
        <v>23</v>
      </c>
      <c r="Q8" s="148">
        <v>18</v>
      </c>
      <c r="R8" s="148">
        <v>16</v>
      </c>
      <c r="S8" s="143">
        <f>SUM(B8:R8)</f>
        <v>269</v>
      </c>
      <c r="T8" s="143">
        <f>S8</f>
        <v>269</v>
      </c>
      <c r="U8" s="149">
        <f>T8/T12</f>
        <v>0.62412993039443154</v>
      </c>
    </row>
    <row r="9" spans="1:23">
      <c r="A9" s="14" t="s">
        <v>1</v>
      </c>
      <c r="B9" s="148">
        <v>0</v>
      </c>
      <c r="C9" s="148">
        <v>0</v>
      </c>
      <c r="D9" s="148">
        <v>0</v>
      </c>
      <c r="E9" s="148">
        <v>1</v>
      </c>
      <c r="F9" s="148">
        <v>0</v>
      </c>
      <c r="G9" s="148">
        <v>1</v>
      </c>
      <c r="H9" s="148">
        <v>4</v>
      </c>
      <c r="I9" s="148">
        <v>2</v>
      </c>
      <c r="J9" s="148">
        <v>1</v>
      </c>
      <c r="K9" s="148">
        <v>0</v>
      </c>
      <c r="L9" s="148">
        <v>2</v>
      </c>
      <c r="M9" s="148"/>
      <c r="N9" s="148">
        <v>1</v>
      </c>
      <c r="O9" s="148">
        <v>1</v>
      </c>
      <c r="P9" s="148">
        <v>3</v>
      </c>
      <c r="Q9" s="148">
        <v>2</v>
      </c>
      <c r="R9" s="148">
        <v>3</v>
      </c>
      <c r="S9" s="143">
        <f t="shared" ref="S9:S11" si="2">SUM(B9:R9)</f>
        <v>21</v>
      </c>
      <c r="T9" s="143">
        <f>S10+S9</f>
        <v>162</v>
      </c>
      <c r="U9" s="149">
        <f>T9/T12</f>
        <v>0.37587006960556846</v>
      </c>
    </row>
    <row r="10" spans="1:23">
      <c r="A10" s="14" t="s">
        <v>2</v>
      </c>
      <c r="B10" s="148">
        <v>13</v>
      </c>
      <c r="C10" s="148">
        <v>14</v>
      </c>
      <c r="D10" s="148">
        <v>12</v>
      </c>
      <c r="E10" s="148">
        <v>11</v>
      </c>
      <c r="F10" s="148">
        <v>4</v>
      </c>
      <c r="G10" s="148">
        <v>13</v>
      </c>
      <c r="H10" s="148">
        <v>8</v>
      </c>
      <c r="I10" s="148">
        <v>7</v>
      </c>
      <c r="J10" s="148">
        <v>3</v>
      </c>
      <c r="K10" s="148">
        <v>7</v>
      </c>
      <c r="L10" s="148">
        <v>4</v>
      </c>
      <c r="M10" s="148"/>
      <c r="N10" s="148">
        <v>10</v>
      </c>
      <c r="O10" s="148">
        <v>9</v>
      </c>
      <c r="P10" s="148">
        <v>10</v>
      </c>
      <c r="Q10" s="148">
        <v>8</v>
      </c>
      <c r="R10" s="148">
        <v>8</v>
      </c>
      <c r="S10" s="143">
        <f t="shared" si="2"/>
        <v>141</v>
      </c>
      <c r="T10" s="143"/>
      <c r="U10" s="143"/>
    </row>
    <row r="11" spans="1:23">
      <c r="A11" s="14" t="s">
        <v>3</v>
      </c>
      <c r="B11" s="148">
        <v>1</v>
      </c>
      <c r="C11" s="148">
        <v>1</v>
      </c>
      <c r="D11" s="148">
        <v>2</v>
      </c>
      <c r="E11" s="148">
        <v>1</v>
      </c>
      <c r="F11" s="148">
        <v>0</v>
      </c>
      <c r="G11" s="148">
        <v>2</v>
      </c>
      <c r="H11" s="148">
        <v>3</v>
      </c>
      <c r="I11" s="148">
        <v>4</v>
      </c>
      <c r="J11" s="148">
        <v>0</v>
      </c>
      <c r="K11" s="148">
        <v>3</v>
      </c>
      <c r="L11" s="148">
        <v>1</v>
      </c>
      <c r="M11" s="148"/>
      <c r="N11" s="148">
        <v>1</v>
      </c>
      <c r="O11" s="148">
        <v>4</v>
      </c>
      <c r="P11" s="148">
        <v>1</v>
      </c>
      <c r="Q11" s="148">
        <v>1</v>
      </c>
      <c r="R11" s="148">
        <v>2</v>
      </c>
      <c r="S11" s="143">
        <f t="shared" si="2"/>
        <v>27</v>
      </c>
      <c r="T11" s="143"/>
      <c r="U11" s="143"/>
    </row>
    <row r="12" spans="1:23">
      <c r="A12" s="14" t="s">
        <v>4</v>
      </c>
      <c r="B12" s="147">
        <f t="shared" ref="B12:R12" si="3">SUM(B8:B11)</f>
        <v>32</v>
      </c>
      <c r="C12" s="147">
        <f t="shared" si="3"/>
        <v>44</v>
      </c>
      <c r="D12" s="147">
        <f t="shared" si="3"/>
        <v>29</v>
      </c>
      <c r="E12" s="147">
        <f t="shared" si="3"/>
        <v>25</v>
      </c>
      <c r="F12" s="147">
        <f t="shared" si="3"/>
        <v>14</v>
      </c>
      <c r="G12" s="147">
        <f t="shared" si="3"/>
        <v>32</v>
      </c>
      <c r="H12" s="147">
        <f t="shared" si="3"/>
        <v>34</v>
      </c>
      <c r="I12" s="147">
        <f t="shared" si="3"/>
        <v>33</v>
      </c>
      <c r="J12" s="147">
        <f t="shared" si="3"/>
        <v>17</v>
      </c>
      <c r="K12" s="147">
        <f t="shared" si="3"/>
        <v>28</v>
      </c>
      <c r="L12" s="147">
        <f t="shared" si="3"/>
        <v>22</v>
      </c>
      <c r="M12" s="147">
        <f t="shared" si="3"/>
        <v>0</v>
      </c>
      <c r="N12" s="147">
        <f t="shared" si="3"/>
        <v>19</v>
      </c>
      <c r="O12" s="147">
        <f t="shared" si="3"/>
        <v>34</v>
      </c>
      <c r="P12" s="147">
        <f t="shared" si="3"/>
        <v>37</v>
      </c>
      <c r="Q12" s="147">
        <f t="shared" si="3"/>
        <v>29</v>
      </c>
      <c r="R12" s="147">
        <f t="shared" si="3"/>
        <v>29</v>
      </c>
      <c r="S12" s="143">
        <f>SUM(B12:R12)</f>
        <v>458</v>
      </c>
      <c r="T12" s="143">
        <f>SUM(T8:T11)</f>
        <v>431</v>
      </c>
    </row>
  </sheetData>
  <phoneticPr fontId="2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PREDILECTA</vt:lpstr>
      <vt:lpstr>Carreg Julho_26</vt:lpstr>
      <vt:lpstr>SALSARETTI</vt:lpstr>
      <vt:lpstr>Analise</vt:lpstr>
      <vt:lpstr>Comparativo Jun x Jul</vt:lpstr>
      <vt:lpstr>'Carreg Julho_26'!Area_de_impressao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Silva - Logística Predilecta</dc:creator>
  <cp:lastModifiedBy>Saulo Silva - Logística Predilecta</cp:lastModifiedBy>
  <dcterms:created xsi:type="dcterms:W3CDTF">2026-07-01T10:43:14Z</dcterms:created>
  <dcterms:modified xsi:type="dcterms:W3CDTF">2026-08-03T18:10:22Z</dcterms:modified>
</cp:coreProperties>
</file>