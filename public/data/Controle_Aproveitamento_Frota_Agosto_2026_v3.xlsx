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95786f81c961d68/Documentos/Consultoria/Predilecta/Control Tower/"/>
    </mc:Choice>
  </mc:AlternateContent>
  <xr:revisionPtr revIDLastSave="1" documentId="13_ncr:1_{4DC7D973-2FAB-4F1D-A276-4F77C9442500}" xr6:coauthVersionLast="47" xr6:coauthVersionMax="47" xr10:uidLastSave="{F445A2A0-A488-4B68-9A48-2BF277B59265}"/>
  <bookViews>
    <workbookView xWindow="-120" yWindow="-120" windowWidth="20730" windowHeight="11040" tabRatio="500" xr2:uid="{00000000-000D-0000-FFFF-FFFF00000000}"/>
  </bookViews>
  <sheets>
    <sheet name="Dashboard" sheetId="1" r:id="rId1"/>
    <sheet name="Divulgação Diária" sheetId="2" r:id="rId2"/>
    <sheet name="Consolidado" sheetId="3" r:id="rId3"/>
    <sheet name="Totais Diários" sheetId="4" r:id="rId4"/>
    <sheet name="Lançamento Diário" sheetId="5" r:id="rId5"/>
    <sheet name="Frota" sheetId="7" r:id="rId6"/>
    <sheet name="Base de Dados" sheetId="6" r:id="rId7"/>
    <sheet name="Notas e Critérios" sheetId="8" r:id="rId8"/>
  </sheets>
  <definedNames>
    <definedName name="_xlnm._FilterDatabase" localSheetId="6" hidden="1">'Base de Dados'!$B$4:$H$934</definedName>
    <definedName name="_xlnm.Print_Area" localSheetId="1">'Divulgação Diária'!$A$1:$M$34</definedName>
    <definedName name="_xlnm.Print_Titles" localSheetId="6">'Base de Dados'!$4:$4</definedName>
    <definedName name="_xlnm.Print_Titles" localSheetId="4">'Lançamento Diário'!$4:$5</definedName>
    <definedName name="_xlnm.Print_Titles" localSheetId="3">'Totais Diários'!$4:$5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7" l="1"/>
  <c r="C12" i="7"/>
  <c r="E11" i="7"/>
  <c r="E10" i="7"/>
  <c r="E9" i="7"/>
  <c r="E8" i="7"/>
  <c r="E7" i="7"/>
  <c r="E6" i="7"/>
  <c r="H934" i="6"/>
  <c r="H933" i="6"/>
  <c r="H932" i="6"/>
  <c r="H931" i="6"/>
  <c r="H930" i="6"/>
  <c r="H929" i="6"/>
  <c r="H928" i="6"/>
  <c r="H927" i="6"/>
  <c r="H926" i="6"/>
  <c r="H925" i="6"/>
  <c r="H924" i="6"/>
  <c r="H923" i="6"/>
  <c r="H922" i="6"/>
  <c r="H921" i="6"/>
  <c r="H920" i="6"/>
  <c r="H919" i="6"/>
  <c r="H918" i="6"/>
  <c r="H917" i="6"/>
  <c r="H916" i="6"/>
  <c r="H915" i="6"/>
  <c r="H914" i="6"/>
  <c r="H913" i="6"/>
  <c r="H912" i="6"/>
  <c r="H911" i="6"/>
  <c r="H910" i="6"/>
  <c r="H909" i="6"/>
  <c r="H908" i="6"/>
  <c r="H907" i="6"/>
  <c r="H906" i="6"/>
  <c r="H905" i="6"/>
  <c r="H904" i="6"/>
  <c r="H903" i="6"/>
  <c r="H902" i="6"/>
  <c r="H901" i="6"/>
  <c r="H900" i="6"/>
  <c r="H899" i="6"/>
  <c r="H898" i="6"/>
  <c r="H897" i="6"/>
  <c r="H896" i="6"/>
  <c r="H895" i="6"/>
  <c r="H894" i="6"/>
  <c r="H893" i="6"/>
  <c r="H892" i="6"/>
  <c r="H891" i="6"/>
  <c r="H890" i="6"/>
  <c r="H889" i="6"/>
  <c r="H888" i="6"/>
  <c r="H887" i="6"/>
  <c r="H886" i="6"/>
  <c r="H885" i="6"/>
  <c r="H884" i="6"/>
  <c r="H883" i="6"/>
  <c r="H882" i="6"/>
  <c r="H881" i="6"/>
  <c r="H880" i="6"/>
  <c r="H879" i="6"/>
  <c r="H878" i="6"/>
  <c r="H877" i="6"/>
  <c r="H876" i="6"/>
  <c r="H875" i="6"/>
  <c r="H874" i="6"/>
  <c r="H873" i="6"/>
  <c r="H872" i="6"/>
  <c r="H871" i="6"/>
  <c r="H870" i="6"/>
  <c r="H869" i="6"/>
  <c r="H868" i="6"/>
  <c r="H867" i="6"/>
  <c r="H866" i="6"/>
  <c r="H865" i="6"/>
  <c r="H864" i="6"/>
  <c r="H863" i="6"/>
  <c r="H862" i="6"/>
  <c r="H861" i="6"/>
  <c r="H860" i="6"/>
  <c r="H859" i="6"/>
  <c r="H858" i="6"/>
  <c r="H857" i="6"/>
  <c r="H856" i="6"/>
  <c r="H855" i="6"/>
  <c r="H854" i="6"/>
  <c r="H853" i="6"/>
  <c r="H852" i="6"/>
  <c r="H851" i="6"/>
  <c r="H850" i="6"/>
  <c r="H849" i="6"/>
  <c r="H848" i="6"/>
  <c r="H847" i="6"/>
  <c r="H846" i="6"/>
  <c r="H845" i="6"/>
  <c r="H844" i="6"/>
  <c r="H843" i="6"/>
  <c r="H842" i="6"/>
  <c r="H841" i="6"/>
  <c r="H840" i="6"/>
  <c r="H839" i="6"/>
  <c r="H838" i="6"/>
  <c r="H837" i="6"/>
  <c r="H836" i="6"/>
  <c r="H835" i="6"/>
  <c r="H834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812" i="6"/>
  <c r="H811" i="6"/>
  <c r="H810" i="6"/>
  <c r="H809" i="6"/>
  <c r="H808" i="6"/>
  <c r="H807" i="6"/>
  <c r="H806" i="6"/>
  <c r="H805" i="6"/>
  <c r="H804" i="6"/>
  <c r="H803" i="6"/>
  <c r="H802" i="6"/>
  <c r="H801" i="6"/>
  <c r="H800" i="6"/>
  <c r="H799" i="6"/>
  <c r="H798" i="6"/>
  <c r="H797" i="6"/>
  <c r="H796" i="6"/>
  <c r="H795" i="6"/>
  <c r="H794" i="6"/>
  <c r="H793" i="6"/>
  <c r="H792" i="6"/>
  <c r="H791" i="6"/>
  <c r="H790" i="6"/>
  <c r="H789" i="6"/>
  <c r="H788" i="6"/>
  <c r="H787" i="6"/>
  <c r="H786" i="6"/>
  <c r="H785" i="6"/>
  <c r="H784" i="6"/>
  <c r="H783" i="6"/>
  <c r="H782" i="6"/>
  <c r="H781" i="6"/>
  <c r="H780" i="6"/>
  <c r="H779" i="6"/>
  <c r="H778" i="6"/>
  <c r="H777" i="6"/>
  <c r="H776" i="6"/>
  <c r="H775" i="6"/>
  <c r="H774" i="6"/>
  <c r="H773" i="6"/>
  <c r="H772" i="6"/>
  <c r="H771" i="6"/>
  <c r="H770" i="6"/>
  <c r="H769" i="6"/>
  <c r="H768" i="6"/>
  <c r="H767" i="6"/>
  <c r="H766" i="6"/>
  <c r="H765" i="6"/>
  <c r="H764" i="6"/>
  <c r="H763" i="6"/>
  <c r="H762" i="6"/>
  <c r="H761" i="6"/>
  <c r="H760" i="6"/>
  <c r="H759" i="6"/>
  <c r="H758" i="6"/>
  <c r="H757" i="6"/>
  <c r="H756" i="6"/>
  <c r="H755" i="6"/>
  <c r="H754" i="6"/>
  <c r="H753" i="6"/>
  <c r="H752" i="6"/>
  <c r="H751" i="6"/>
  <c r="H750" i="6"/>
  <c r="H749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AG59" i="5"/>
  <c r="AF59" i="5"/>
  <c r="AF10" i="4" s="1"/>
  <c r="AE59" i="5"/>
  <c r="AE10" i="4" s="1"/>
  <c r="AD59" i="5"/>
  <c r="AD10" i="4" s="1"/>
  <c r="AC59" i="5"/>
  <c r="AB59" i="5"/>
  <c r="AB10" i="4" s="1"/>
  <c r="AA59" i="5"/>
  <c r="AA10" i="4" s="1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AG58" i="5"/>
  <c r="AG9" i="4" s="1"/>
  <c r="AF58" i="5"/>
  <c r="AE58" i="5"/>
  <c r="AE9" i="4" s="1"/>
  <c r="AD58" i="5"/>
  <c r="AC58" i="5"/>
  <c r="AC9" i="4" s="1"/>
  <c r="AB58" i="5"/>
  <c r="AA58" i="5"/>
  <c r="Z58" i="5"/>
  <c r="Y58" i="5"/>
  <c r="Y9" i="4" s="1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AG57" i="5"/>
  <c r="AF57" i="5"/>
  <c r="AF8" i="4" s="1"/>
  <c r="AE57" i="5"/>
  <c r="AD57" i="5"/>
  <c r="AC57" i="5"/>
  <c r="AC8" i="4" s="1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AG56" i="5"/>
  <c r="AF56" i="5"/>
  <c r="AE56" i="5"/>
  <c r="AE7" i="4" s="1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AG55" i="5"/>
  <c r="AG6" i="4" s="1"/>
  <c r="AF55" i="5"/>
  <c r="AE55" i="5"/>
  <c r="AD55" i="5"/>
  <c r="AC55" i="5"/>
  <c r="AB55" i="5"/>
  <c r="AA55" i="5"/>
  <c r="Z55" i="5"/>
  <c r="Y55" i="5"/>
  <c r="X55" i="5"/>
  <c r="X60" i="5" s="1"/>
  <c r="W55" i="5"/>
  <c r="W60" i="5" s="1"/>
  <c r="V55" i="5"/>
  <c r="V60" i="5" s="1"/>
  <c r="U55" i="5"/>
  <c r="U60" i="5" s="1"/>
  <c r="T55" i="5"/>
  <c r="T60" i="5" s="1"/>
  <c r="S55" i="5"/>
  <c r="S60" i="5" s="1"/>
  <c r="R55" i="5"/>
  <c r="R60" i="5" s="1"/>
  <c r="Q55" i="5"/>
  <c r="Q60" i="5" s="1"/>
  <c r="P55" i="5"/>
  <c r="P60" i="5" s="1"/>
  <c r="O55" i="5"/>
  <c r="O60" i="5" s="1"/>
  <c r="N55" i="5"/>
  <c r="N60" i="5" s="1"/>
  <c r="M55" i="5"/>
  <c r="M60" i="5" s="1"/>
  <c r="L55" i="5"/>
  <c r="L60" i="5" s="1"/>
  <c r="K55" i="5"/>
  <c r="K60" i="5" s="1"/>
  <c r="J55" i="5"/>
  <c r="J60" i="5" s="1"/>
  <c r="I55" i="5"/>
  <c r="I60" i="5" s="1"/>
  <c r="H55" i="5"/>
  <c r="H60" i="5" s="1"/>
  <c r="G55" i="5"/>
  <c r="G60" i="5" s="1"/>
  <c r="F55" i="5"/>
  <c r="F60" i="5" s="1"/>
  <c r="E55" i="5"/>
  <c r="E60" i="5" s="1"/>
  <c r="D55" i="5"/>
  <c r="D60" i="5" s="1"/>
  <c r="C55" i="5"/>
  <c r="AG52" i="5"/>
  <c r="AG23" i="4" s="1"/>
  <c r="AF52" i="5"/>
  <c r="AF23" i="4" s="1"/>
  <c r="AE52" i="5"/>
  <c r="AE23" i="4" s="1"/>
  <c r="AD52" i="5"/>
  <c r="AD23" i="4" s="1"/>
  <c r="AC52" i="5"/>
  <c r="AC23" i="4" s="1"/>
  <c r="AB52" i="5"/>
  <c r="AB23" i="4" s="1"/>
  <c r="AA52" i="5"/>
  <c r="AA23" i="4" s="1"/>
  <c r="Z52" i="5"/>
  <c r="Z23" i="4" s="1"/>
  <c r="Y52" i="5"/>
  <c r="Y23" i="4" s="1"/>
  <c r="X52" i="5"/>
  <c r="X23" i="4" s="1"/>
  <c r="W52" i="5"/>
  <c r="W23" i="4" s="1"/>
  <c r="V52" i="5"/>
  <c r="V23" i="4" s="1"/>
  <c r="U52" i="5"/>
  <c r="U23" i="4" s="1"/>
  <c r="T52" i="5"/>
  <c r="T23" i="4" s="1"/>
  <c r="S52" i="5"/>
  <c r="S23" i="4" s="1"/>
  <c r="R52" i="5"/>
  <c r="R23" i="4" s="1"/>
  <c r="Q52" i="5"/>
  <c r="Q23" i="4" s="1"/>
  <c r="P52" i="5"/>
  <c r="P23" i="4" s="1"/>
  <c r="O52" i="5"/>
  <c r="O23" i="4" s="1"/>
  <c r="N52" i="5"/>
  <c r="N23" i="4" s="1"/>
  <c r="M52" i="5"/>
  <c r="M23" i="4" s="1"/>
  <c r="L52" i="5"/>
  <c r="L23" i="4" s="1"/>
  <c r="K52" i="5"/>
  <c r="K23" i="4" s="1"/>
  <c r="J52" i="5"/>
  <c r="J23" i="4" s="1"/>
  <c r="I52" i="5"/>
  <c r="I23" i="4" s="1"/>
  <c r="H52" i="5"/>
  <c r="H23" i="4" s="1"/>
  <c r="G52" i="5"/>
  <c r="G23" i="4" s="1"/>
  <c r="F52" i="5"/>
  <c r="F23" i="4" s="1"/>
  <c r="E52" i="5"/>
  <c r="E23" i="4" s="1"/>
  <c r="D52" i="5"/>
  <c r="D23" i="4" s="1"/>
  <c r="C52" i="5"/>
  <c r="C23" i="4" s="1"/>
  <c r="AH51" i="5"/>
  <c r="G11" i="3" s="1"/>
  <c r="H21" i="3" s="1"/>
  <c r="J30" i="2" s="1"/>
  <c r="AH50" i="5"/>
  <c r="F11" i="3" s="1"/>
  <c r="AH49" i="5"/>
  <c r="E11" i="3" s="1"/>
  <c r="AH48" i="5"/>
  <c r="D11" i="3" s="1"/>
  <c r="AH47" i="5"/>
  <c r="C11" i="3" s="1"/>
  <c r="AG44" i="5"/>
  <c r="AG22" i="4" s="1"/>
  <c r="AF44" i="5"/>
  <c r="AF22" i="4" s="1"/>
  <c r="AE44" i="5"/>
  <c r="AE22" i="4" s="1"/>
  <c r="AD44" i="5"/>
  <c r="AD22" i="4" s="1"/>
  <c r="AC44" i="5"/>
  <c r="AC22" i="4" s="1"/>
  <c r="AB44" i="5"/>
  <c r="AB22" i="4" s="1"/>
  <c r="AA44" i="5"/>
  <c r="AA22" i="4" s="1"/>
  <c r="Z44" i="5"/>
  <c r="Z22" i="4" s="1"/>
  <c r="Y22" i="4"/>
  <c r="X44" i="5"/>
  <c r="X22" i="4" s="1"/>
  <c r="W44" i="5"/>
  <c r="W22" i="4" s="1"/>
  <c r="V44" i="5"/>
  <c r="V22" i="4" s="1"/>
  <c r="U44" i="5"/>
  <c r="U22" i="4" s="1"/>
  <c r="T44" i="5"/>
  <c r="T22" i="4" s="1"/>
  <c r="S44" i="5"/>
  <c r="S22" i="4" s="1"/>
  <c r="R44" i="5"/>
  <c r="R22" i="4" s="1"/>
  <c r="Q44" i="5"/>
  <c r="Q22" i="4" s="1"/>
  <c r="P44" i="5"/>
  <c r="P22" i="4" s="1"/>
  <c r="O44" i="5"/>
  <c r="O22" i="4" s="1"/>
  <c r="N44" i="5"/>
  <c r="N22" i="4" s="1"/>
  <c r="M44" i="5"/>
  <c r="M22" i="4" s="1"/>
  <c r="L44" i="5"/>
  <c r="L22" i="4" s="1"/>
  <c r="K44" i="5"/>
  <c r="K22" i="4" s="1"/>
  <c r="J44" i="5"/>
  <c r="J22" i="4" s="1"/>
  <c r="I44" i="5"/>
  <c r="I22" i="4" s="1"/>
  <c r="H44" i="5"/>
  <c r="H22" i="4" s="1"/>
  <c r="G44" i="5"/>
  <c r="G22" i="4" s="1"/>
  <c r="F44" i="5"/>
  <c r="F22" i="4" s="1"/>
  <c r="E44" i="5"/>
  <c r="E22" i="4" s="1"/>
  <c r="D44" i="5"/>
  <c r="D22" i="4" s="1"/>
  <c r="C44" i="5"/>
  <c r="C22" i="4" s="1"/>
  <c r="AH43" i="5"/>
  <c r="G10" i="3" s="1"/>
  <c r="H20" i="3" s="1"/>
  <c r="J29" i="2" s="1"/>
  <c r="AH42" i="5"/>
  <c r="AH41" i="5"/>
  <c r="E10" i="3" s="1"/>
  <c r="AH40" i="5"/>
  <c r="D10" i="3" s="1"/>
  <c r="AH39" i="5"/>
  <c r="C10" i="3" s="1"/>
  <c r="AG36" i="5"/>
  <c r="AG21" i="4" s="1"/>
  <c r="AF36" i="5"/>
  <c r="AF21" i="4" s="1"/>
  <c r="AE36" i="5"/>
  <c r="AE21" i="4" s="1"/>
  <c r="AD36" i="5"/>
  <c r="AD21" i="4" s="1"/>
  <c r="AC36" i="5"/>
  <c r="AC21" i="4" s="1"/>
  <c r="AB36" i="5"/>
  <c r="AB21" i="4" s="1"/>
  <c r="AA36" i="5"/>
  <c r="AA21" i="4" s="1"/>
  <c r="Z36" i="5"/>
  <c r="Z21" i="4" s="1"/>
  <c r="Y36" i="5"/>
  <c r="Y21" i="4" s="1"/>
  <c r="X36" i="5"/>
  <c r="X21" i="4" s="1"/>
  <c r="W36" i="5"/>
  <c r="W21" i="4" s="1"/>
  <c r="V36" i="5"/>
  <c r="V21" i="4" s="1"/>
  <c r="U36" i="5"/>
  <c r="U21" i="4" s="1"/>
  <c r="T36" i="5"/>
  <c r="T21" i="4" s="1"/>
  <c r="S36" i="5"/>
  <c r="S21" i="4" s="1"/>
  <c r="R36" i="5"/>
  <c r="R21" i="4" s="1"/>
  <c r="Q36" i="5"/>
  <c r="Q21" i="4" s="1"/>
  <c r="P36" i="5"/>
  <c r="P21" i="4" s="1"/>
  <c r="O36" i="5"/>
  <c r="O21" i="4" s="1"/>
  <c r="N36" i="5"/>
  <c r="N21" i="4" s="1"/>
  <c r="M36" i="5"/>
  <c r="M21" i="4" s="1"/>
  <c r="L36" i="5"/>
  <c r="L21" i="4" s="1"/>
  <c r="K36" i="5"/>
  <c r="K21" i="4" s="1"/>
  <c r="J36" i="5"/>
  <c r="J21" i="4" s="1"/>
  <c r="I36" i="5"/>
  <c r="I21" i="4" s="1"/>
  <c r="H36" i="5"/>
  <c r="H21" i="4" s="1"/>
  <c r="G36" i="5"/>
  <c r="G21" i="4" s="1"/>
  <c r="F36" i="5"/>
  <c r="F21" i="4" s="1"/>
  <c r="E36" i="5"/>
  <c r="E21" i="4" s="1"/>
  <c r="D36" i="5"/>
  <c r="D21" i="4" s="1"/>
  <c r="C36" i="5"/>
  <c r="C21" i="4" s="1"/>
  <c r="AH35" i="5"/>
  <c r="G9" i="3" s="1"/>
  <c r="H19" i="3" s="1"/>
  <c r="J28" i="2" s="1"/>
  <c r="AH34" i="5"/>
  <c r="F9" i="3" s="1"/>
  <c r="AH33" i="5"/>
  <c r="AH32" i="5"/>
  <c r="D9" i="3" s="1"/>
  <c r="AH31" i="5"/>
  <c r="AG28" i="5"/>
  <c r="AG20" i="4" s="1"/>
  <c r="AF28" i="5"/>
  <c r="AF20" i="4" s="1"/>
  <c r="AE28" i="5"/>
  <c r="AE20" i="4" s="1"/>
  <c r="AD28" i="5"/>
  <c r="AD20" i="4" s="1"/>
  <c r="AC28" i="5"/>
  <c r="AB28" i="5"/>
  <c r="AB20" i="4" s="1"/>
  <c r="AA28" i="5"/>
  <c r="AA20" i="4" s="1"/>
  <c r="Z28" i="5"/>
  <c r="Z20" i="4" s="1"/>
  <c r="Y28" i="5"/>
  <c r="Y20" i="4" s="1"/>
  <c r="X28" i="5"/>
  <c r="X20" i="4" s="1"/>
  <c r="W28" i="5"/>
  <c r="W20" i="4" s="1"/>
  <c r="V28" i="5"/>
  <c r="V20" i="4" s="1"/>
  <c r="U28" i="5"/>
  <c r="U20" i="4" s="1"/>
  <c r="T28" i="5"/>
  <c r="T20" i="4" s="1"/>
  <c r="S28" i="5"/>
  <c r="S20" i="4" s="1"/>
  <c r="R28" i="5"/>
  <c r="R20" i="4" s="1"/>
  <c r="Q28" i="5"/>
  <c r="Q20" i="4" s="1"/>
  <c r="P28" i="5"/>
  <c r="P20" i="4" s="1"/>
  <c r="O28" i="5"/>
  <c r="O20" i="4" s="1"/>
  <c r="N28" i="5"/>
  <c r="N20" i="4" s="1"/>
  <c r="M28" i="5"/>
  <c r="M20" i="4" s="1"/>
  <c r="L28" i="5"/>
  <c r="L20" i="4" s="1"/>
  <c r="K28" i="5"/>
  <c r="K20" i="4" s="1"/>
  <c r="J28" i="5"/>
  <c r="J20" i="4" s="1"/>
  <c r="I28" i="5"/>
  <c r="I20" i="4" s="1"/>
  <c r="H28" i="5"/>
  <c r="H20" i="4" s="1"/>
  <c r="G28" i="5"/>
  <c r="G20" i="4" s="1"/>
  <c r="F28" i="5"/>
  <c r="F20" i="4" s="1"/>
  <c r="E28" i="5"/>
  <c r="E20" i="4" s="1"/>
  <c r="D28" i="5"/>
  <c r="D20" i="4" s="1"/>
  <c r="C28" i="5"/>
  <c r="C20" i="4" s="1"/>
  <c r="AH27" i="5"/>
  <c r="G8" i="3" s="1"/>
  <c r="H18" i="3" s="1"/>
  <c r="J27" i="2" s="1"/>
  <c r="AH26" i="5"/>
  <c r="F8" i="3" s="1"/>
  <c r="AH25" i="5"/>
  <c r="AH24" i="5"/>
  <c r="D8" i="3" s="1"/>
  <c r="AH23" i="5"/>
  <c r="C8" i="3" s="1"/>
  <c r="AG20" i="5"/>
  <c r="AG19" i="4" s="1"/>
  <c r="AF20" i="5"/>
  <c r="AF19" i="4" s="1"/>
  <c r="AE20" i="5"/>
  <c r="AE19" i="4" s="1"/>
  <c r="AD20" i="5"/>
  <c r="AD19" i="4" s="1"/>
  <c r="AC20" i="5"/>
  <c r="AC19" i="4" s="1"/>
  <c r="AB20" i="5"/>
  <c r="AB19" i="4" s="1"/>
  <c r="AA20" i="5"/>
  <c r="AA19" i="4" s="1"/>
  <c r="Z20" i="5"/>
  <c r="Z19" i="4" s="1"/>
  <c r="Y20" i="5"/>
  <c r="Y19" i="4" s="1"/>
  <c r="X20" i="5"/>
  <c r="X19" i="4" s="1"/>
  <c r="W20" i="5"/>
  <c r="W19" i="4" s="1"/>
  <c r="V20" i="5"/>
  <c r="V19" i="4" s="1"/>
  <c r="U20" i="5"/>
  <c r="U19" i="4" s="1"/>
  <c r="T20" i="5"/>
  <c r="T19" i="4" s="1"/>
  <c r="S20" i="5"/>
  <c r="S19" i="4" s="1"/>
  <c r="R20" i="5"/>
  <c r="R19" i="4" s="1"/>
  <c r="Q20" i="5"/>
  <c r="Q19" i="4" s="1"/>
  <c r="P20" i="5"/>
  <c r="P19" i="4" s="1"/>
  <c r="O20" i="5"/>
  <c r="O19" i="4" s="1"/>
  <c r="N20" i="5"/>
  <c r="N19" i="4" s="1"/>
  <c r="M20" i="5"/>
  <c r="M19" i="4" s="1"/>
  <c r="L20" i="5"/>
  <c r="L19" i="4" s="1"/>
  <c r="K20" i="5"/>
  <c r="K19" i="4" s="1"/>
  <c r="J20" i="5"/>
  <c r="J19" i="4" s="1"/>
  <c r="I20" i="5"/>
  <c r="I19" i="4" s="1"/>
  <c r="H20" i="5"/>
  <c r="H19" i="4" s="1"/>
  <c r="G20" i="5"/>
  <c r="G19" i="4" s="1"/>
  <c r="F20" i="5"/>
  <c r="F19" i="4" s="1"/>
  <c r="E20" i="5"/>
  <c r="E19" i="4" s="1"/>
  <c r="D20" i="5"/>
  <c r="D19" i="4" s="1"/>
  <c r="C20" i="5"/>
  <c r="C19" i="4" s="1"/>
  <c r="AH19" i="5"/>
  <c r="G7" i="3" s="1"/>
  <c r="H17" i="3" s="1"/>
  <c r="J26" i="2" s="1"/>
  <c r="AH18" i="5"/>
  <c r="F7" i="3" s="1"/>
  <c r="AH17" i="5"/>
  <c r="AH16" i="5"/>
  <c r="D7" i="3" s="1"/>
  <c r="AH15" i="5"/>
  <c r="C7" i="3" s="1"/>
  <c r="AG12" i="5"/>
  <c r="AG18" i="4" s="1"/>
  <c r="AF12" i="5"/>
  <c r="AF18" i="4" s="1"/>
  <c r="AE12" i="5"/>
  <c r="AE18" i="4" s="1"/>
  <c r="AD12" i="5"/>
  <c r="AD18" i="4" s="1"/>
  <c r="AC12" i="5"/>
  <c r="AC18" i="4" s="1"/>
  <c r="AB12" i="5"/>
  <c r="AB18" i="4" s="1"/>
  <c r="AA12" i="5"/>
  <c r="AA18" i="4" s="1"/>
  <c r="Z12" i="5"/>
  <c r="Z18" i="4" s="1"/>
  <c r="Y12" i="5"/>
  <c r="Y18" i="4" s="1"/>
  <c r="X12" i="5"/>
  <c r="X18" i="4" s="1"/>
  <c r="X24" i="4" s="1"/>
  <c r="W12" i="5"/>
  <c r="W18" i="4" s="1"/>
  <c r="W24" i="4" s="1"/>
  <c r="V12" i="5"/>
  <c r="V18" i="4" s="1"/>
  <c r="V24" i="4" s="1"/>
  <c r="U12" i="5"/>
  <c r="U18" i="4" s="1"/>
  <c r="U24" i="4" s="1"/>
  <c r="T12" i="5"/>
  <c r="T18" i="4" s="1"/>
  <c r="T24" i="4" s="1"/>
  <c r="S12" i="5"/>
  <c r="S18" i="4" s="1"/>
  <c r="S24" i="4" s="1"/>
  <c r="R12" i="5"/>
  <c r="R18" i="4" s="1"/>
  <c r="R24" i="4" s="1"/>
  <c r="Q12" i="5"/>
  <c r="Q18" i="4" s="1"/>
  <c r="Q24" i="4" s="1"/>
  <c r="P12" i="5"/>
  <c r="P18" i="4" s="1"/>
  <c r="P24" i="4" s="1"/>
  <c r="O12" i="5"/>
  <c r="O18" i="4" s="1"/>
  <c r="O24" i="4" s="1"/>
  <c r="N12" i="5"/>
  <c r="N18" i="4" s="1"/>
  <c r="N24" i="4" s="1"/>
  <c r="M12" i="5"/>
  <c r="M18" i="4" s="1"/>
  <c r="M24" i="4" s="1"/>
  <c r="L12" i="5"/>
  <c r="L18" i="4" s="1"/>
  <c r="L24" i="4" s="1"/>
  <c r="K12" i="5"/>
  <c r="K18" i="4" s="1"/>
  <c r="K24" i="4" s="1"/>
  <c r="J12" i="5"/>
  <c r="J18" i="4" s="1"/>
  <c r="J24" i="4" s="1"/>
  <c r="I12" i="5"/>
  <c r="I18" i="4" s="1"/>
  <c r="I24" i="4" s="1"/>
  <c r="H12" i="5"/>
  <c r="H18" i="4" s="1"/>
  <c r="H24" i="4" s="1"/>
  <c r="G12" i="5"/>
  <c r="G18" i="4" s="1"/>
  <c r="G24" i="4" s="1"/>
  <c r="F12" i="5"/>
  <c r="F18" i="4" s="1"/>
  <c r="F24" i="4" s="1"/>
  <c r="E12" i="5"/>
  <c r="E18" i="4" s="1"/>
  <c r="E24" i="4" s="1"/>
  <c r="D12" i="5"/>
  <c r="D18" i="4" s="1"/>
  <c r="D24" i="4" s="1"/>
  <c r="C12" i="5"/>
  <c r="C18" i="4" s="1"/>
  <c r="C24" i="4" s="1"/>
  <c r="AH11" i="5"/>
  <c r="G6" i="3" s="1"/>
  <c r="AH10" i="5"/>
  <c r="F6" i="3" s="1"/>
  <c r="AH9" i="5"/>
  <c r="E6" i="3" s="1"/>
  <c r="AH8" i="5"/>
  <c r="AH7" i="5"/>
  <c r="C6" i="3" s="1"/>
  <c r="AG43" i="4"/>
  <c r="AF43" i="4"/>
  <c r="AE43" i="4"/>
  <c r="AD43" i="4"/>
  <c r="AC43" i="4"/>
  <c r="AB43" i="4"/>
  <c r="AA43" i="4"/>
  <c r="Z43" i="4"/>
  <c r="Y43" i="4"/>
  <c r="X43" i="4"/>
  <c r="X44" i="4" s="1"/>
  <c r="W43" i="4"/>
  <c r="W44" i="4" s="1"/>
  <c r="V43" i="4"/>
  <c r="V44" i="4" s="1"/>
  <c r="U43" i="4"/>
  <c r="U44" i="4" s="1"/>
  <c r="T43" i="4"/>
  <c r="T44" i="4" s="1"/>
  <c r="S43" i="4"/>
  <c r="S44" i="4" s="1"/>
  <c r="R43" i="4"/>
  <c r="R44" i="4" s="1"/>
  <c r="Q43" i="4"/>
  <c r="Q44" i="4" s="1"/>
  <c r="P43" i="4"/>
  <c r="P44" i="4" s="1"/>
  <c r="O43" i="4"/>
  <c r="O44" i="4" s="1"/>
  <c r="N43" i="4"/>
  <c r="N44" i="4" s="1"/>
  <c r="M43" i="4"/>
  <c r="M44" i="4" s="1"/>
  <c r="L43" i="4"/>
  <c r="L44" i="4" s="1"/>
  <c r="K43" i="4"/>
  <c r="K44" i="4" s="1"/>
  <c r="J43" i="4"/>
  <c r="J44" i="4" s="1"/>
  <c r="I43" i="4"/>
  <c r="I44" i="4" s="1"/>
  <c r="H43" i="4"/>
  <c r="H44" i="4" s="1"/>
  <c r="G43" i="4"/>
  <c r="G44" i="4" s="1"/>
  <c r="F43" i="4"/>
  <c r="F44" i="4" s="1"/>
  <c r="E43" i="4"/>
  <c r="E44" i="4" s="1"/>
  <c r="D43" i="4"/>
  <c r="D44" i="4" s="1"/>
  <c r="C43" i="4"/>
  <c r="C44" i="4" s="1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G33" i="4"/>
  <c r="AF33" i="4"/>
  <c r="AE33" i="4"/>
  <c r="AD33" i="4"/>
  <c r="AC33" i="4"/>
  <c r="AB33" i="4"/>
  <c r="AA33" i="4"/>
  <c r="Z33" i="4"/>
  <c r="Y33" i="4"/>
  <c r="X33" i="4"/>
  <c r="X34" i="4" s="1"/>
  <c r="W33" i="4"/>
  <c r="W34" i="4" s="1"/>
  <c r="V33" i="4"/>
  <c r="V34" i="4" s="1"/>
  <c r="U33" i="4"/>
  <c r="U34" i="4" s="1"/>
  <c r="T33" i="4"/>
  <c r="T34" i="4" s="1"/>
  <c r="S33" i="4"/>
  <c r="S34" i="4" s="1"/>
  <c r="R33" i="4"/>
  <c r="R34" i="4" s="1"/>
  <c r="Q33" i="4"/>
  <c r="Q34" i="4" s="1"/>
  <c r="P33" i="4"/>
  <c r="P34" i="4" s="1"/>
  <c r="O33" i="4"/>
  <c r="O34" i="4" s="1"/>
  <c r="N33" i="4"/>
  <c r="N34" i="4" s="1"/>
  <c r="M33" i="4"/>
  <c r="M34" i="4" s="1"/>
  <c r="L33" i="4"/>
  <c r="L34" i="4" s="1"/>
  <c r="K33" i="4"/>
  <c r="K34" i="4" s="1"/>
  <c r="J33" i="4"/>
  <c r="J34" i="4" s="1"/>
  <c r="I33" i="4"/>
  <c r="I34" i="4" s="1"/>
  <c r="H33" i="4"/>
  <c r="H34" i="4" s="1"/>
  <c r="G33" i="4"/>
  <c r="G34" i="4" s="1"/>
  <c r="F33" i="4"/>
  <c r="F34" i="4" s="1"/>
  <c r="E33" i="4"/>
  <c r="E34" i="4" s="1"/>
  <c r="D33" i="4"/>
  <c r="D34" i="4" s="1"/>
  <c r="C33" i="4"/>
  <c r="C34" i="4" s="1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G10" i="4"/>
  <c r="AC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F9" i="4"/>
  <c r="AD9" i="4"/>
  <c r="AB9" i="4"/>
  <c r="AA9" i="4"/>
  <c r="Z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G8" i="4"/>
  <c r="AE8" i="4"/>
  <c r="AD8" i="4"/>
  <c r="AB8" i="4"/>
  <c r="AA8" i="4"/>
  <c r="AA13" i="4" s="1"/>
  <c r="Z8" i="4"/>
  <c r="Z13" i="4" s="1"/>
  <c r="X8" i="4"/>
  <c r="X13" i="4" s="1"/>
  <c r="W8" i="4"/>
  <c r="W13" i="4" s="1"/>
  <c r="V8" i="4"/>
  <c r="V13" i="4" s="1"/>
  <c r="U8" i="4"/>
  <c r="U13" i="4" s="1"/>
  <c r="T8" i="4"/>
  <c r="T13" i="4" s="1"/>
  <c r="S8" i="4"/>
  <c r="S13" i="4" s="1"/>
  <c r="R8" i="4"/>
  <c r="R13" i="4" s="1"/>
  <c r="Q8" i="4"/>
  <c r="Q13" i="4" s="1"/>
  <c r="P8" i="4"/>
  <c r="P13" i="4" s="1"/>
  <c r="O8" i="4"/>
  <c r="O13" i="4" s="1"/>
  <c r="N8" i="4"/>
  <c r="N13" i="4" s="1"/>
  <c r="M8" i="4"/>
  <c r="M13" i="4" s="1"/>
  <c r="L8" i="4"/>
  <c r="L13" i="4" s="1"/>
  <c r="K8" i="4"/>
  <c r="K13" i="4" s="1"/>
  <c r="J8" i="4"/>
  <c r="J13" i="4" s="1"/>
  <c r="I8" i="4"/>
  <c r="I13" i="4" s="1"/>
  <c r="H8" i="4"/>
  <c r="H13" i="4" s="1"/>
  <c r="G8" i="4"/>
  <c r="G13" i="4" s="1"/>
  <c r="F8" i="4"/>
  <c r="F13" i="4" s="1"/>
  <c r="E8" i="4"/>
  <c r="E13" i="4" s="1"/>
  <c r="D8" i="4"/>
  <c r="D13" i="4" s="1"/>
  <c r="C8" i="4"/>
  <c r="C13" i="4" s="1"/>
  <c r="AG7" i="4"/>
  <c r="AF7" i="4"/>
  <c r="AD7" i="4"/>
  <c r="AC7" i="4"/>
  <c r="AB7" i="4"/>
  <c r="AA7" i="4"/>
  <c r="Z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AB6" i="4"/>
  <c r="AA6" i="4"/>
  <c r="Z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F31" i="3"/>
  <c r="C31" i="3"/>
  <c r="F30" i="3"/>
  <c r="C30" i="3"/>
  <c r="F29" i="3"/>
  <c r="C29" i="3"/>
  <c r="C28" i="3"/>
  <c r="F27" i="3"/>
  <c r="C27" i="3"/>
  <c r="F26" i="3"/>
  <c r="C26" i="3"/>
  <c r="C32" i="3" s="1"/>
  <c r="C46" i="3" s="1"/>
  <c r="F10" i="3"/>
  <c r="E9" i="3"/>
  <c r="C9" i="3"/>
  <c r="E8" i="3"/>
  <c r="E7" i="3"/>
  <c r="D6" i="3"/>
  <c r="AG34" i="4" l="1"/>
  <c r="AF24" i="4"/>
  <c r="AG13" i="4"/>
  <c r="AG60" i="5"/>
  <c r="AG24" i="4"/>
  <c r="AG44" i="4"/>
  <c r="AF13" i="4"/>
  <c r="AF44" i="4"/>
  <c r="AF34" i="4"/>
  <c r="AF60" i="5"/>
  <c r="AF6" i="4"/>
  <c r="D19" i="3"/>
  <c r="G28" i="2" s="1"/>
  <c r="AC60" i="5"/>
  <c r="AC6" i="4"/>
  <c r="AD60" i="5"/>
  <c r="AD6" i="4"/>
  <c r="AC13" i="4"/>
  <c r="AC44" i="4"/>
  <c r="AD13" i="4"/>
  <c r="AD44" i="4"/>
  <c r="AD34" i="4"/>
  <c r="AD24" i="4"/>
  <c r="AE60" i="5"/>
  <c r="AE6" i="4"/>
  <c r="AE13" i="4"/>
  <c r="AE44" i="4"/>
  <c r="AE24" i="4"/>
  <c r="AE34" i="4"/>
  <c r="AC34" i="4"/>
  <c r="AC20" i="4"/>
  <c r="AC24" i="4" s="1"/>
  <c r="F28" i="3"/>
  <c r="D21" i="3"/>
  <c r="G30" i="2" s="1"/>
  <c r="D18" i="3"/>
  <c r="G27" i="2" s="1"/>
  <c r="D20" i="3"/>
  <c r="G29" i="2" s="1"/>
  <c r="D12" i="3"/>
  <c r="AH58" i="5"/>
  <c r="D17" i="3"/>
  <c r="G26" i="2" s="1"/>
  <c r="AA60" i="5"/>
  <c r="AA24" i="4"/>
  <c r="AB44" i="4"/>
  <c r="AB24" i="4"/>
  <c r="AB60" i="5"/>
  <c r="Z24" i="4"/>
  <c r="F12" i="3"/>
  <c r="Y44" i="4"/>
  <c r="Y24" i="4"/>
  <c r="Y34" i="4"/>
  <c r="AB13" i="4"/>
  <c r="AB34" i="4"/>
  <c r="AH59" i="5"/>
  <c r="AA44" i="4"/>
  <c r="AA34" i="4"/>
  <c r="Z60" i="5"/>
  <c r="Z44" i="4"/>
  <c r="Z34" i="4"/>
  <c r="AH57" i="5"/>
  <c r="Y8" i="4"/>
  <c r="AH56" i="5"/>
  <c r="Y7" i="4"/>
  <c r="Y60" i="5"/>
  <c r="Y6" i="4"/>
  <c r="E12" i="7"/>
  <c r="F6" i="7" s="1"/>
  <c r="C60" i="5"/>
  <c r="AH55" i="5"/>
  <c r="AJ51" i="5"/>
  <c r="AJ50" i="5"/>
  <c r="AJ49" i="5"/>
  <c r="AJ48" i="5"/>
  <c r="AJ47" i="5"/>
  <c r="AH52" i="5"/>
  <c r="AJ43" i="5"/>
  <c r="AJ42" i="5"/>
  <c r="AJ41" i="5"/>
  <c r="AJ40" i="5"/>
  <c r="AH44" i="5"/>
  <c r="AJ39" i="5"/>
  <c r="AJ35" i="5"/>
  <c r="AJ34" i="5"/>
  <c r="AJ33" i="5"/>
  <c r="AJ32" i="5"/>
  <c r="AH36" i="5"/>
  <c r="AI31" i="5" s="1"/>
  <c r="AJ31" i="5"/>
  <c r="AJ27" i="5"/>
  <c r="AJ26" i="5"/>
  <c r="AJ25" i="5"/>
  <c r="AJ24" i="5"/>
  <c r="AH28" i="5"/>
  <c r="AI23" i="5" s="1"/>
  <c r="AJ23" i="5"/>
  <c r="AJ19" i="5"/>
  <c r="AJ18" i="5"/>
  <c r="AJ17" i="5"/>
  <c r="AJ16" i="5"/>
  <c r="AH20" i="5"/>
  <c r="AJ15" i="5"/>
  <c r="AJ11" i="5"/>
  <c r="AJ10" i="5"/>
  <c r="AJ9" i="5"/>
  <c r="AJ8" i="5"/>
  <c r="AH12" i="5"/>
  <c r="AI7" i="5" s="1"/>
  <c r="AJ7" i="5"/>
  <c r="AG12" i="4"/>
  <c r="AG11" i="4"/>
  <c r="AB12" i="4"/>
  <c r="AB11" i="4"/>
  <c r="AA12" i="4"/>
  <c r="AA11" i="4"/>
  <c r="Z11" i="4"/>
  <c r="Z12" i="4"/>
  <c r="X11" i="4"/>
  <c r="X12" i="4"/>
  <c r="W11" i="4"/>
  <c r="W12" i="4"/>
  <c r="V11" i="4"/>
  <c r="V12" i="4"/>
  <c r="U11" i="4"/>
  <c r="U12" i="4"/>
  <c r="T12" i="4"/>
  <c r="T11" i="4"/>
  <c r="S11" i="4"/>
  <c r="S12" i="4"/>
  <c r="R11" i="4"/>
  <c r="R12" i="4"/>
  <c r="Q11" i="4"/>
  <c r="Q12" i="4"/>
  <c r="P12" i="4"/>
  <c r="P11" i="4"/>
  <c r="O11" i="4"/>
  <c r="O12" i="4"/>
  <c r="N11" i="4"/>
  <c r="N12" i="4"/>
  <c r="M11" i="4"/>
  <c r="M12" i="4"/>
  <c r="L11" i="4"/>
  <c r="L12" i="4"/>
  <c r="K11" i="4"/>
  <c r="K12" i="4"/>
  <c r="J11" i="4"/>
  <c r="J12" i="4"/>
  <c r="I11" i="4"/>
  <c r="I12" i="4"/>
  <c r="H11" i="4"/>
  <c r="H12" i="4"/>
  <c r="G11" i="4"/>
  <c r="G12" i="4"/>
  <c r="F11" i="4"/>
  <c r="F12" i="4"/>
  <c r="E11" i="4"/>
  <c r="E12" i="4"/>
  <c r="D12" i="4"/>
  <c r="D11" i="4"/>
  <c r="C12" i="4"/>
  <c r="C11" i="4"/>
  <c r="H9" i="1"/>
  <c r="H11" i="3"/>
  <c r="C21" i="3"/>
  <c r="H10" i="3"/>
  <c r="C20" i="3"/>
  <c r="H9" i="3"/>
  <c r="C19" i="3"/>
  <c r="H8" i="3"/>
  <c r="C18" i="3"/>
  <c r="C17" i="3"/>
  <c r="H7" i="3"/>
  <c r="H16" i="3"/>
  <c r="G12" i="3"/>
  <c r="E12" i="3"/>
  <c r="D16" i="3"/>
  <c r="C16" i="3"/>
  <c r="C12" i="3"/>
  <c r="H6" i="3"/>
  <c r="AF11" i="4" l="1"/>
  <c r="AF12" i="4"/>
  <c r="AC11" i="4"/>
  <c r="AC12" i="4"/>
  <c r="AD12" i="4"/>
  <c r="AD11" i="4"/>
  <c r="AE11" i="4"/>
  <c r="AE12" i="4"/>
  <c r="AI51" i="5"/>
  <c r="AI47" i="5"/>
  <c r="Y12" i="4"/>
  <c r="AJ56" i="5"/>
  <c r="AI34" i="5"/>
  <c r="AI32" i="5"/>
  <c r="AI35" i="5"/>
  <c r="AI33" i="5"/>
  <c r="Y13" i="4"/>
  <c r="Y11" i="4"/>
  <c r="F7" i="7"/>
  <c r="F9" i="7"/>
  <c r="F10" i="7"/>
  <c r="F11" i="7"/>
  <c r="F8" i="7"/>
  <c r="F12" i="7"/>
  <c r="AJ55" i="5"/>
  <c r="AH60" i="5"/>
  <c r="AI55" i="5" s="1"/>
  <c r="AI52" i="5"/>
  <c r="AJ52" i="5"/>
  <c r="AI44" i="5"/>
  <c r="AJ44" i="5"/>
  <c r="AJ36" i="5"/>
  <c r="AI36" i="5"/>
  <c r="AI28" i="5"/>
  <c r="AJ28" i="5"/>
  <c r="AJ20" i="5"/>
  <c r="AI20" i="5"/>
  <c r="AJ12" i="5"/>
  <c r="AI12" i="5"/>
  <c r="H31" i="3"/>
  <c r="I31" i="3" s="1"/>
  <c r="F30" i="2"/>
  <c r="E21" i="3"/>
  <c r="F21" i="3" s="1"/>
  <c r="H30" i="2" s="1"/>
  <c r="D31" i="3"/>
  <c r="E31" i="3" s="1"/>
  <c r="H30" i="3"/>
  <c r="I30" i="3" s="1"/>
  <c r="D30" i="3"/>
  <c r="E30" i="3" s="1"/>
  <c r="E20" i="3"/>
  <c r="F20" i="3" s="1"/>
  <c r="H29" i="2" s="1"/>
  <c r="F29" i="2"/>
  <c r="H29" i="3"/>
  <c r="I29" i="3" s="1"/>
  <c r="D29" i="3"/>
  <c r="E29" i="3" s="1"/>
  <c r="F28" i="2"/>
  <c r="E19" i="3"/>
  <c r="F19" i="3" s="1"/>
  <c r="H28" i="2" s="1"/>
  <c r="H28" i="3"/>
  <c r="I28" i="3" s="1"/>
  <c r="E18" i="3"/>
  <c r="F18" i="3" s="1"/>
  <c r="H27" i="2" s="1"/>
  <c r="D28" i="3"/>
  <c r="E28" i="3" s="1"/>
  <c r="F27" i="2"/>
  <c r="D27" i="3"/>
  <c r="E27" i="3" s="1"/>
  <c r="F26" i="2"/>
  <c r="E17" i="3"/>
  <c r="F17" i="3" s="1"/>
  <c r="H26" i="2" s="1"/>
  <c r="H27" i="3"/>
  <c r="I27" i="3" s="1"/>
  <c r="H22" i="3"/>
  <c r="J25" i="2"/>
  <c r="G25" i="2"/>
  <c r="D22" i="3"/>
  <c r="E16" i="3"/>
  <c r="F25" i="2"/>
  <c r="C22" i="3"/>
  <c r="D26" i="3"/>
  <c r="H26" i="3"/>
  <c r="H12" i="3"/>
  <c r="F32" i="3"/>
  <c r="AJ59" i="5"/>
  <c r="AJ58" i="5"/>
  <c r="AJ57" i="5"/>
  <c r="AI50" i="5"/>
  <c r="AI49" i="5"/>
  <c r="AI48" i="5"/>
  <c r="AI43" i="5"/>
  <c r="AI42" i="5"/>
  <c r="AI41" i="5"/>
  <c r="AI40" i="5"/>
  <c r="AI39" i="5"/>
  <c r="AI27" i="5"/>
  <c r="AI26" i="5"/>
  <c r="AI25" i="5"/>
  <c r="AI24" i="5"/>
  <c r="AI18" i="5"/>
  <c r="AI17" i="5"/>
  <c r="AI16" i="5"/>
  <c r="AI15" i="5"/>
  <c r="AI19" i="5"/>
  <c r="AI11" i="5"/>
  <c r="AI10" i="5"/>
  <c r="AI9" i="5"/>
  <c r="AI8" i="5"/>
  <c r="C39" i="3" l="1"/>
  <c r="H6" i="1" s="1"/>
  <c r="C35" i="3"/>
  <c r="C36" i="3"/>
  <c r="I11" i="3"/>
  <c r="I10" i="3"/>
  <c r="I9" i="3"/>
  <c r="AI58" i="5"/>
  <c r="AI59" i="5"/>
  <c r="AI57" i="5"/>
  <c r="AI56" i="5"/>
  <c r="AI60" i="5"/>
  <c r="AJ60" i="5"/>
  <c r="G21" i="3"/>
  <c r="I30" i="2" s="1"/>
  <c r="I21" i="3"/>
  <c r="K30" i="2" s="1"/>
  <c r="L30" i="2"/>
  <c r="G31" i="3"/>
  <c r="G30" i="3"/>
  <c r="L29" i="2"/>
  <c r="G20" i="3"/>
  <c r="I29" i="2" s="1"/>
  <c r="I20" i="3"/>
  <c r="K29" i="2" s="1"/>
  <c r="G29" i="3"/>
  <c r="L28" i="2"/>
  <c r="G19" i="3"/>
  <c r="I28" i="2" s="1"/>
  <c r="I19" i="3"/>
  <c r="K28" i="2" s="1"/>
  <c r="G18" i="3"/>
  <c r="I27" i="2" s="1"/>
  <c r="I18" i="3"/>
  <c r="K27" i="2" s="1"/>
  <c r="G28" i="3"/>
  <c r="L27" i="2"/>
  <c r="G27" i="3"/>
  <c r="L26" i="2"/>
  <c r="G17" i="3"/>
  <c r="I26" i="2" s="1"/>
  <c r="I17" i="3"/>
  <c r="K26" i="2" s="1"/>
  <c r="C44" i="3"/>
  <c r="J31" i="2"/>
  <c r="G31" i="2"/>
  <c r="C43" i="3"/>
  <c r="I7" i="2" s="1"/>
  <c r="I16" i="3"/>
  <c r="E22" i="3"/>
  <c r="C42" i="3"/>
  <c r="D7" i="2" s="1"/>
  <c r="F31" i="2"/>
  <c r="E26" i="3"/>
  <c r="D32" i="3"/>
  <c r="E32" i="3" s="1"/>
  <c r="I26" i="3"/>
  <c r="H32" i="3"/>
  <c r="I32" i="3" s="1"/>
  <c r="I12" i="3"/>
  <c r="C37" i="3"/>
  <c r="G16" i="3"/>
  <c r="I25" i="2" s="1"/>
  <c r="F16" i="3"/>
  <c r="H25" i="2" s="1"/>
  <c r="I8" i="3"/>
  <c r="I7" i="3"/>
  <c r="I6" i="3"/>
  <c r="E25" i="2" l="1"/>
  <c r="D26" i="2"/>
  <c r="M26" i="2" s="1"/>
  <c r="B3" i="1"/>
  <c r="E27" i="2"/>
  <c r="E30" i="2"/>
  <c r="D25" i="2"/>
  <c r="M25" i="2" s="1"/>
  <c r="E28" i="2"/>
  <c r="D2" i="2"/>
  <c r="D31" i="2"/>
  <c r="M31" i="2" s="1"/>
  <c r="B7" i="2"/>
  <c r="D28" i="2"/>
  <c r="M28" i="2" s="1"/>
  <c r="D29" i="2"/>
  <c r="M29" i="2" s="1"/>
  <c r="D30" i="2"/>
  <c r="M30" i="2" s="1"/>
  <c r="E31" i="2"/>
  <c r="D27" i="2"/>
  <c r="M27" i="2" s="1"/>
  <c r="E29" i="2"/>
  <c r="E26" i="2"/>
  <c r="G22" i="3"/>
  <c r="F22" i="3"/>
  <c r="E9" i="1"/>
  <c r="K7" i="2"/>
  <c r="I22" i="3"/>
  <c r="K31" i="2" s="1"/>
  <c r="K25" i="2"/>
  <c r="G26" i="3"/>
  <c r="L25" i="2"/>
  <c r="C45" i="3"/>
  <c r="K9" i="1" s="1"/>
  <c r="L31" i="2"/>
  <c r="G32" i="3"/>
  <c r="C38" i="3"/>
  <c r="E6" i="1" s="1"/>
  <c r="B6" i="1"/>
  <c r="B33" i="2" l="1"/>
  <c r="C41" i="3"/>
  <c r="B9" i="1" s="1"/>
  <c r="I31" i="2"/>
  <c r="C40" i="3"/>
  <c r="H31" i="2"/>
  <c r="G7" i="2" l="1"/>
  <c r="K6" i="1"/>
</calcChain>
</file>

<file path=xl/sharedStrings.xml><?xml version="1.0" encoding="utf-8"?>
<sst xmlns="http://schemas.openxmlformats.org/spreadsheetml/2006/main" count="4048" uniqueCount="190">
  <si>
    <t>DASHBOARD — APROVEITAMENTO DA FROTA · AGOSTO / 2026</t>
  </si>
  <si>
    <t>Painel gerencial consolidado. Atualiza automaticamente conforme os lançamentos diários são preenchidos.</t>
  </si>
  <si>
    <t>TOTAL DE CARREGAMENTOS</t>
  </si>
  <si>
    <t>MÉDIA DIÁRIA</t>
  </si>
  <si>
    <t>MAIOR VOLUME EM UM DIA</t>
  </si>
  <si>
    <t>% FROTA PRÓPRIA (s/ FOB)</t>
  </si>
  <si>
    <t>% TERCEIROS (s/ FOB)</t>
  </si>
  <si>
    <t>FOB (FORA DO COMPARATIVO)</t>
  </si>
  <si>
    <t>VEÍCULOS DE DISTRIBUIÇÃO</t>
  </si>
  <si>
    <t>VIAGENS POR VEÍCULO (MÊS)</t>
  </si>
  <si>
    <t>Fonte: aba Lançamento Diário · Consolidação automática · Predilecta e empresas do grupo.</t>
  </si>
  <si>
    <t>CARREGAMENTOS DIÁRIOS — RESULTADO ACUMULADO</t>
  </si>
  <si>
    <t>GRUPO PREDILECTA  ·  CONTROLE DE APROVEITAMENTO DA FROTA</t>
  </si>
  <si>
    <t>CARREGAMENTOS NO DIA</t>
  </si>
  <si>
    <t>FROTA PRÓPRIA — ACUMULADO</t>
  </si>
  <si>
    <t>% FROTA PRÓPRIA</t>
  </si>
  <si>
    <t>TERCEIROS — ACUMULADO</t>
  </si>
  <si>
    <t>FOB — FORA DO COMPARATIVO</t>
  </si>
  <si>
    <t>total do último dia lançado</t>
  </si>
  <si>
    <t>frota + transpredi</t>
  </si>
  <si>
    <t>sobre próprio + terceiro</t>
  </si>
  <si>
    <t>terceiros + transpredi contratado</t>
  </si>
  <si>
    <t>carga retirada pelo cliente</t>
  </si>
  <si>
    <t>RESULTADO POR EMPRESA — DESTAQUE PARA A FROTA PRÓPRIA</t>
  </si>
  <si>
    <t>EMPRESA</t>
  </si>
  <si>
    <t>NO DIA</t>
  </si>
  <si>
    <t>PRÓPRIA
NO DIA</t>
  </si>
  <si>
    <t>PRÓPRIA
ACUMULADO</t>
  </si>
  <si>
    <t>TERCEIRO
ACUMULADO</t>
  </si>
  <si>
    <t>% TERCEIRO</t>
  </si>
  <si>
    <t>FOB
(fora)</t>
  </si>
  <si>
    <t>TOTAL
GERAL</t>
  </si>
  <si>
    <t>VIAGENS/
VEÍC.</t>
  </si>
  <si>
    <t>DIA x MÉDIA</t>
  </si>
  <si>
    <t>Predilecta</t>
  </si>
  <si>
    <t>Salsaretti</t>
  </si>
  <si>
    <t>Stella d'Oro</t>
  </si>
  <si>
    <t>Sofruta</t>
  </si>
  <si>
    <t>Minas Mais</t>
  </si>
  <si>
    <t>Nordeste Mais</t>
  </si>
  <si>
    <t>TOTAL DO GRUPO PREDILECTA</t>
  </si>
  <si>
    <t>Critério: FROTA PRÓPRIA = frota + transpredi  ·  TERCEIRO = terceiros + transpredi contratado  ·  FOB fora do comparativo.</t>
  </si>
  <si>
    <t>CONSOLIDAÇÃO DE DADOS — AGOSTO / 2026</t>
  </si>
  <si>
    <t>Todas as células desta aba são calculadas a partir da aba Lançamento Diário. Não digitar valores aqui.</t>
  </si>
  <si>
    <t>1. CARREGAMENTOS POR EMPRESA E MODALIDADE</t>
  </si>
  <si>
    <t>FROTA</t>
  </si>
  <si>
    <t>TRANSPREDI</t>
  </si>
  <si>
    <t>TRANSPREDI CONTRATADO</t>
  </si>
  <si>
    <t>TERCEIROS</t>
  </si>
  <si>
    <t>FOB</t>
  </si>
  <si>
    <t>TOTAL</t>
  </si>
  <si>
    <t>% DO TOTAL</t>
  </si>
  <si>
    <t>TOTAL GERAL</t>
  </si>
  <si>
    <t>2. FROTA PRÓPRIA x TERCEIROS  (FOB fora do comparativo)</t>
  </si>
  <si>
    <t>FROTA PRÓPRIA
(Frota + Transpredi)</t>
  </si>
  <si>
    <t>TERCEIRO
(Contratado + Terceiros)</t>
  </si>
  <si>
    <t>BASE DO
COMPARATIVO</t>
  </si>
  <si>
    <t>% FROTA
PRÓPRIA</t>
  </si>
  <si>
    <t>3. APROVEITAMENTO DA FROTA (VIAGENS POR VEÍCULO)</t>
  </si>
  <si>
    <t>VEÍCULOS
(Distribuição)</t>
  </si>
  <si>
    <t>CARREG.
PRÓPRIOS</t>
  </si>
  <si>
    <t>VIAGENS POR
VEÍCULO (MÊS)</t>
  </si>
  <si>
    <t>DIAS COM
OPERAÇÃO</t>
  </si>
  <si>
    <t>VIAGENS/VEÍC.
POR DIA</t>
  </si>
  <si>
    <t>TOTAL
CARREG.</t>
  </si>
  <si>
    <t>MÉDIA
DIÁRIA</t>
  </si>
  <si>
    <t>4. INDICADORES AUXILIARES (usados no Dashboard)</t>
  </si>
  <si>
    <t>Último dia lançado</t>
  </si>
  <si>
    <t>Dias com operação</t>
  </si>
  <si>
    <t>Total de carregamentos</t>
  </si>
  <si>
    <t>Média diária de carregamentos</t>
  </si>
  <si>
    <t>Maior volume em um dia</t>
  </si>
  <si>
    <t>% Frota própria (s/ FOB)</t>
  </si>
  <si>
    <t>% Terceiros (s/ FOB)</t>
  </si>
  <si>
    <t>Carregamentos frota própria</t>
  </si>
  <si>
    <t>Carregamentos terceiros</t>
  </si>
  <si>
    <t>Carregamentos FOB</t>
  </si>
  <si>
    <t>Viagens por veículo (mês)</t>
  </si>
  <si>
    <t>Veículos de distribuição</t>
  </si>
  <si>
    <t>TOTAIS DIÁRIOS — AGOSTO / 2026</t>
  </si>
  <si>
    <t>Visão dia a dia por modalidade e por empresa. Calculado a partir da aba Lançamento Diário.</t>
  </si>
  <si>
    <t>1. TOTAIS DIÁRIOS POR MODALIDADE</t>
  </si>
  <si>
    <t>MODALIDADE</t>
  </si>
  <si>
    <t>TOTAL DIA</t>
  </si>
  <si>
    <t>PRÓPRIO</t>
  </si>
  <si>
    <t>TERCEIRO</t>
  </si>
  <si>
    <t>2. TOTAIS DIÁRIOS POR EMPRESA</t>
  </si>
  <si>
    <t>3. FROTA PRÓPRIA POR EMPRESA (frota + transpredi)</t>
  </si>
  <si>
    <t>4. TERCEIROS POR EMPRESA (transpredi contratado + terceiros)</t>
  </si>
  <si>
    <t>LANÇAMENTO DIÁRIO DE CARREGAMENTOS — AGOSTO / 2026</t>
  </si>
  <si>
    <t>Área de entrada de dados. Digite apenas nas células amarelas. Totais, percentuais e o Dashboard são calculados automaticamente.</t>
  </si>
  <si>
    <t>DIA</t>
  </si>
  <si>
    <t>TOTAL MÊS</t>
  </si>
  <si>
    <t>% MÊS</t>
  </si>
  <si>
    <t>MÉDIA/DIA</t>
  </si>
  <si>
    <t>SEMANA</t>
  </si>
  <si>
    <t>sáb</t>
  </si>
  <si>
    <t>dom</t>
  </si>
  <si>
    <t>seg</t>
  </si>
  <si>
    <t>ter</t>
  </si>
  <si>
    <t>qua</t>
  </si>
  <si>
    <t>qui</t>
  </si>
  <si>
    <t>sex</t>
  </si>
  <si>
    <t>1. PREDILECTA</t>
  </si>
  <si>
    <t>2. SALSARETTI</t>
  </si>
  <si>
    <t>3. STELLA D'ORO</t>
  </si>
  <si>
    <t>4. SOFRUTA</t>
  </si>
  <si>
    <t>5. MINAS MAIS</t>
  </si>
  <si>
    <t>6. NORDESTE MAIS</t>
  </si>
  <si>
    <t>TOTAL GERAL — TODAS AS EMPRESAS</t>
  </si>
  <si>
    <t>Legenda</t>
  </si>
  <si>
    <t>• Células amarelas com número azul: digitação diária. Deixe em branco os dias ainda não ocorridos.</t>
  </si>
  <si>
    <t>• PRÓPRIO = FROTA + TRANSPREDI · TERCEIRO = TRANSPREDI CONTRATADO + TERCEIROS · FOB é apresentado à parte.</t>
  </si>
  <si>
    <t>• MÉDIA/DIA considera somente os dias que já tiveram carregamento lançado.</t>
  </si>
  <si>
    <t>• Colunas em roxo no cabeçalho indicam sábado e domingo.</t>
  </si>
  <si>
    <t>BASE DE DADOS (formato tabela)</t>
  </si>
  <si>
    <t>Tabela normalizada, pronta para Tabela Dinâmica e filtros. Alimentada automaticamente pela aba Lançamento Diário.</t>
  </si>
  <si>
    <t>DATA</t>
  </si>
  <si>
    <t>GRUPO</t>
  </si>
  <si>
    <t>CARREGAMENTOS</t>
  </si>
  <si>
    <t>FROTA DISPONÍVEL POR EMPRESA</t>
  </si>
  <si>
    <t>Área de entrada — atualize a quantidade de veículos quando houver mudança na frota.</t>
  </si>
  <si>
    <t>QUANTIDADE DE VEÍCULOS</t>
  </si>
  <si>
    <t>DISTRIBUIÇÃO</t>
  </si>
  <si>
    <t>COLETA / TRANSF.</t>
  </si>
  <si>
    <t>TOTAL DA FROTA</t>
  </si>
  <si>
    <t>PARTICIPAÇÃO %</t>
  </si>
  <si>
    <t>Legenda:</t>
  </si>
  <si>
    <t>• Células com fundo amarelo e número azul = entrada manual.</t>
  </si>
  <si>
    <t>• Demais células contêm fórmulas — não digitar sobre elas.</t>
  </si>
  <si>
    <t>• A coluna DISTRIBUIÇÃO é a base do cálculo de "viagens por veículo" no Consolidado.</t>
  </si>
  <si>
    <t>ESTRUTURA DO ARQUIVO</t>
  </si>
  <si>
    <t>Dashboard</t>
  </si>
  <si>
    <t>Painel gerencial com indicadores-chave e cinco gráficos. Somente leitura.</t>
  </si>
  <si>
    <t>Consolidado</t>
  </si>
  <si>
    <t>Resumo do mês: carregamentos por empresa e modalidade, próprio x terceiro x FOB, aproveitamento da frota e indicadores auxiliares que alimentam o Dashboard.</t>
  </si>
  <si>
    <t>Divulgação Diária</t>
  </si>
  <si>
    <t>Página única, pronta para impressão ou PDF, com o resultado acumulado do mês. Atualiza sozinha a cada lançamento.</t>
  </si>
  <si>
    <t>Totais Diários</t>
  </si>
  <si>
    <t>Visão dia a dia por modalidade e por empresa, com escala de cores para identificar picos e vales de operação.</t>
  </si>
  <si>
    <t>Lançamento Diário</t>
  </si>
  <si>
    <t>Única aba de digitação do movimento. Um bloco por empresa e um bloco de total geral calculado.</t>
  </si>
  <si>
    <t>Base de Dados</t>
  </si>
  <si>
    <t>Mesma informação em formato de tabela (930 linhas), pronta para Tabela Dinâmica e filtros.</t>
  </si>
  <si>
    <t>Frota</t>
  </si>
  <si>
    <t>Quantidade de veículos por empresa, separada entre Distribuição e Coleta/Transferência.</t>
  </si>
  <si>
    <t>Notas e Critérios</t>
  </si>
  <si>
    <t>Esta aba.</t>
  </si>
  <si>
    <t>CRITÉRIOS DE CÁLCULO</t>
  </si>
  <si>
    <t>FROTA PRÓPRIA</t>
  </si>
  <si>
    <t>FROTA + TRANSPREDI. É o indicador de destaque do grupo — aparece primeiro e em vermelho na página de divulgação.</t>
  </si>
  <si>
    <t>TERCEIROS + TRANSPREDI CONTRATADO.</t>
  </si>
  <si>
    <t>Fica FORA do comparativo próprio x terceiro, pois a carga é retirada pelo cliente e não consome frota. Aparece sempre como número à parte.</t>
  </si>
  <si>
    <t>Base do comparativo</t>
  </si>
  <si>
    <t>% Frota própria e % Terceiro são calculados sobre PRÓPRIO + TERCEIRO, sem o FOB. O total geral (com FOB) é exibido em coluna separada.</t>
  </si>
  <si>
    <t>Marcas</t>
  </si>
  <si>
    <t>Cada empresa aparece com seu logotipo e sua cor institucional na página de divulgação e na aba Frota.</t>
  </si>
  <si>
    <t>Carregamentos PRÓPRIOS ÷ veículos de Distribuição da aba Frota — mesma fórmula do campo "Média Viagens" original.</t>
  </si>
  <si>
    <t>Quantidade de dias com pelo menos um carregamento lançado. Domingos e dias ainda não preenchidos não entram nas médias.</t>
  </si>
  <si>
    <t>Percentuais</t>
  </si>
  <si>
    <t>Sempre calculados sobre o total da própria empresa ou do grupo, com proteção contra divisão por zero (IFERROR).</t>
  </si>
  <si>
    <t>CORREÇÕES APLICADAS EM RELAÇÃO AO ARQUIVO ORIGINAL</t>
  </si>
  <si>
    <t>Erro de referência</t>
  </si>
  <si>
    <t>A linha de total geral da frota própria retornava erro de referência na coluna do dia 18. A fórmula foi refeita.</t>
  </si>
  <si>
    <t>Totais gerais incompletos</t>
  </si>
  <si>
    <t>As linhas de total geral somavam apenas 5 das 6 empresas — Nordeste Mais ficava de fora do movimento diário. Agora as 6 empresas são somadas.</t>
  </si>
  <si>
    <t>Referências deslocadas</t>
  </si>
  <si>
    <t>No dia 18, as linhas de TRANSPREDI, CONTRATADO, TERCEIROS e FOB do total geral apontavam para a modalidade errada. Corrigido.</t>
  </si>
  <si>
    <t>Vínculo externo quebrado</t>
  </si>
  <si>
    <t>A linha de total do dia dependia do arquivo "Comparativo Jun x Jul", que não acompanha a planilha. Substituído por soma interna.</t>
  </si>
  <si>
    <t>Percentuais com base errada</t>
  </si>
  <si>
    <t>No bloco da Minas Mais, três percentuais dividiam pelo total da Predilecta. Corrigido para o total da própria empresa.</t>
  </si>
  <si>
    <t>Totais fixos digitados</t>
  </si>
  <si>
    <t>Células de total dos dias 3 e 26 estavam com valor 0 digitado por cima da fórmula. Restauradas como fórmula.</t>
  </si>
  <si>
    <t>Total da frota Nordeste Mais</t>
  </si>
  <si>
    <t>O total somava indevidamente a frota da Minas Mais. Corrigido para considerar apenas a própria empresa.</t>
  </si>
  <si>
    <t>Veículos Nordeste Mais</t>
  </si>
  <si>
    <t>O cálculo de média usava 3 veículos, enquanto a tabela de frota informa 4. Passou a usar a tabela de frota (4). Se o correto for 3, basta ajustar na aba Frota.</t>
  </si>
  <si>
    <t>Identificação das empresas</t>
  </si>
  <si>
    <t>As empresas eram identificadas apenas por logotipos flutuantes. Agora cada bloco tem o nome escrito, o que permite consolidar e filtrar os dados.</t>
  </si>
  <si>
    <t>COMO USAR NO DIA A DIA</t>
  </si>
  <si>
    <t>1. Lançar</t>
  </si>
  <si>
    <t>Abra a aba Lançamento Diário e preencha as células amarelas na coluna do dia correspondente.</t>
  </si>
  <si>
    <t>2. Conferir</t>
  </si>
  <si>
    <t>Os totais por empresa e o total geral são atualizados na hora.</t>
  </si>
  <si>
    <t>3. Analisar</t>
  </si>
  <si>
    <t>O Dashboard e o Consolidado se atualizam automaticamente — nenhuma fórmula precisa ser refeita.</t>
  </si>
  <si>
    <t>4. Novo mês</t>
  </si>
  <si>
    <t>Salve uma cópia do arquivo, apague apenas as células amarelas da aba Lançamento Diário e ajuste as datas da linha 4.</t>
  </si>
  <si>
    <t xml:space="preserve">NOTAS  E CRITÉRIOS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</si>
</sst>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\-"/>
    <numFmt numFmtId="165" formatCode="0.0"/>
    <numFmt numFmtId="166" formatCode="0.0%"/>
    <numFmt numFmtId="167" formatCode="\+0.0%;\-0.0%;0.0%"/>
    <numFmt numFmtId="168" formatCode="dd"/>
  </numFmts>
  <fonts count="3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1F3864"/>
      <name val="Arial"/>
      <charset val="1"/>
    </font>
    <font>
      <b/>
      <sz val="8"/>
      <color rgb="FFFFFFFF"/>
      <name val="Arial"/>
      <charset val="1"/>
    </font>
    <font>
      <b/>
      <sz val="22"/>
      <color rgb="FF1F3864"/>
      <name val="Arial"/>
      <charset val="1"/>
    </font>
    <font>
      <b/>
      <sz val="22"/>
      <color rgb="FF2E5C8A"/>
      <name val="Arial"/>
      <charset val="1"/>
    </font>
    <font>
      <b/>
      <sz val="22"/>
      <color rgb="FF0F472C"/>
      <name val="Arial"/>
      <charset val="1"/>
    </font>
    <font>
      <b/>
      <sz val="22"/>
      <color rgb="FF6E7B8B"/>
      <name val="Arial"/>
      <charset val="1"/>
    </font>
    <font>
      <b/>
      <sz val="22"/>
      <color rgb="FF7C4B8B"/>
      <name val="Arial"/>
      <charset val="1"/>
    </font>
    <font>
      <i/>
      <sz val="8"/>
      <color rgb="FF808080"/>
      <name val="Arial"/>
      <charset val="1"/>
    </font>
    <font>
      <b/>
      <sz val="13.5"/>
      <color rgb="FF1F3864"/>
      <name val="Arial"/>
      <charset val="1"/>
    </font>
    <font>
      <b/>
      <sz val="10"/>
      <color rgb="FF595959"/>
      <name val="Arial"/>
      <charset val="1"/>
    </font>
    <font>
      <b/>
      <sz val="9"/>
      <color rgb="FFFFFFFF"/>
      <name val="Arial"/>
      <charset val="1"/>
    </font>
    <font>
      <i/>
      <sz val="7.5"/>
      <color rgb="FF80808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DE030F"/>
      <name val="Arial"/>
      <charset val="1"/>
    </font>
    <font>
      <b/>
      <sz val="10"/>
      <color rgb="FF0B4626"/>
      <name val="Arial"/>
      <charset val="1"/>
    </font>
    <font>
      <b/>
      <sz val="10"/>
      <color rgb="FF0F472C"/>
      <name val="Arial"/>
      <charset val="1"/>
    </font>
    <font>
      <b/>
      <sz val="10"/>
      <color rgb="FFDD040F"/>
      <name val="Arial"/>
      <charset val="1"/>
    </font>
    <font>
      <b/>
      <sz val="10"/>
      <color rgb="FFDD0311"/>
      <name val="Arial"/>
      <charset val="1"/>
    </font>
    <font>
      <b/>
      <sz val="10"/>
      <color rgb="FF10358E"/>
      <name val="Arial"/>
      <charset val="1"/>
    </font>
    <font>
      <b/>
      <sz val="10"/>
      <color rgb="FFFFFFFF"/>
      <name val="Arial"/>
      <charset val="1"/>
    </font>
    <font>
      <b/>
      <sz val="9.5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8"/>
      <color rgb="FF7C4B8B"/>
      <name val="Arial"/>
      <charset val="1"/>
    </font>
    <font>
      <b/>
      <sz val="8"/>
      <color rgb="FF1F3864"/>
      <name val="Arial"/>
      <charset val="1"/>
    </font>
    <font>
      <b/>
      <sz val="11"/>
      <color rgb="FF1F3864"/>
      <name val="Arial"/>
      <charset val="1"/>
    </font>
    <font>
      <sz val="9"/>
      <color rgb="FF0000FF"/>
      <name val="Arial"/>
      <charset val="1"/>
    </font>
    <font>
      <sz val="9"/>
      <color rgb="FF404040"/>
      <name val="Arial"/>
      <charset val="1"/>
    </font>
    <font>
      <sz val="10"/>
      <color rgb="FF0000FF"/>
      <name val="Arial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0358E"/>
      </patternFill>
    </fill>
    <fill>
      <patternFill patternType="solid">
        <fgColor rgb="FFD6E4F0"/>
        <bgColor rgb="FFD9D9D9"/>
      </patternFill>
    </fill>
    <fill>
      <patternFill patternType="solid">
        <fgColor rgb="FF2E5C8A"/>
        <bgColor rgb="FF595959"/>
      </patternFill>
    </fill>
    <fill>
      <patternFill patternType="solid">
        <fgColor rgb="FF0F472C"/>
        <bgColor rgb="FF0B4626"/>
      </patternFill>
    </fill>
    <fill>
      <patternFill patternType="solid">
        <fgColor rgb="FFFFFFFF"/>
        <bgColor rgb="FFFFF7E0"/>
      </patternFill>
    </fill>
    <fill>
      <patternFill patternType="solid">
        <fgColor rgb="FF6E7B8B"/>
        <bgColor rgb="FF808080"/>
      </patternFill>
    </fill>
    <fill>
      <patternFill patternType="solid">
        <fgColor rgb="FF7C4B8B"/>
        <bgColor rgb="FF8064A2"/>
      </patternFill>
    </fill>
    <fill>
      <patternFill patternType="solid">
        <fgColor rgb="FFDE030F"/>
        <bgColor rgb="FFDD0311"/>
      </patternFill>
    </fill>
    <fill>
      <patternFill patternType="solid">
        <fgColor rgb="FFF2F2F2"/>
        <bgColor rgb="FFFFF7E0"/>
      </patternFill>
    </fill>
    <fill>
      <patternFill patternType="solid">
        <fgColor rgb="FFEDE1F2"/>
        <bgColor rgb="FFD6E4F0"/>
      </patternFill>
    </fill>
    <fill>
      <patternFill patternType="solid">
        <fgColor rgb="FFD9D9D9"/>
        <bgColor rgb="FFD6E4F0"/>
      </patternFill>
    </fill>
    <fill>
      <patternFill patternType="solid">
        <fgColor rgb="FFFFF7E0"/>
        <bgColor rgb="FFF2F2F2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>
      <left style="medium">
        <color rgb="FF1F3864"/>
      </left>
      <right style="medium">
        <color rgb="FF1F3864"/>
      </right>
      <top/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35" fillId="0" borderId="0" applyFont="0" applyFill="0" applyBorder="0" applyAlignment="0" applyProtection="0"/>
  </cellStyleXfs>
  <cellXfs count="113">
    <xf numFmtId="0" fontId="0" fillId="0" borderId="0" xfId="0"/>
    <xf numFmtId="0" fontId="10" fillId="0" borderId="0" xfId="0" applyFont="1"/>
    <xf numFmtId="0" fontId="0" fillId="6" borderId="0" xfId="0" applyFill="1"/>
    <xf numFmtId="0" fontId="4" fillId="2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164" fontId="16" fillId="0" borderId="4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 vertical="center"/>
    </xf>
    <xf numFmtId="166" fontId="17" fillId="0" borderId="4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164" fontId="18" fillId="0" borderId="4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164" fontId="19" fillId="0" borderId="4" xfId="0" applyNumberFormat="1" applyFont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164" fontId="20" fillId="0" borderId="4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164" fontId="21" fillId="0" borderId="4" xfId="0" applyNumberFormat="1" applyFont="1" applyBorder="1" applyAlignment="1">
      <alignment horizontal="center" vertical="center"/>
    </xf>
    <xf numFmtId="166" fontId="21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164" fontId="22" fillId="0" borderId="4" xfId="0" applyNumberFormat="1" applyFont="1" applyBorder="1" applyAlignment="1">
      <alignment horizontal="center" vertical="center"/>
    </xf>
    <xf numFmtId="166" fontId="22" fillId="0" borderId="4" xfId="0" applyNumberFormat="1" applyFont="1" applyBorder="1" applyAlignment="1">
      <alignment horizontal="center" vertical="center"/>
    </xf>
    <xf numFmtId="0" fontId="23" fillId="2" borderId="4" xfId="0" applyFont="1" applyFill="1" applyBorder="1" applyAlignment="1">
      <alignment horizontal="left" vertical="center"/>
    </xf>
    <xf numFmtId="164" fontId="23" fillId="2" borderId="4" xfId="0" applyNumberFormat="1" applyFont="1" applyFill="1" applyBorder="1" applyAlignment="1">
      <alignment horizontal="center" vertical="center"/>
    </xf>
    <xf numFmtId="166" fontId="23" fillId="2" borderId="4" xfId="0" applyNumberFormat="1" applyFont="1" applyFill="1" applyBorder="1" applyAlignment="1">
      <alignment horizontal="center" vertical="center"/>
    </xf>
    <xf numFmtId="165" fontId="23" fillId="2" borderId="4" xfId="0" applyNumberFormat="1" applyFont="1" applyFill="1" applyBorder="1" applyAlignment="1">
      <alignment horizontal="center" vertical="center"/>
    </xf>
    <xf numFmtId="167" fontId="23" fillId="2" borderId="4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164" fontId="16" fillId="10" borderId="4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164" fontId="16" fillId="6" borderId="4" xfId="0" applyNumberFormat="1" applyFont="1" applyFill="1" applyBorder="1" applyAlignment="1">
      <alignment horizontal="center" vertical="center"/>
    </xf>
    <xf numFmtId="164" fontId="26" fillId="0" borderId="4" xfId="0" applyNumberFormat="1" applyFont="1" applyBorder="1" applyAlignment="1">
      <alignment horizontal="center" vertical="center"/>
    </xf>
    <xf numFmtId="165" fontId="25" fillId="0" borderId="4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2" fontId="23" fillId="2" borderId="4" xfId="0" applyNumberFormat="1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27" fillId="10" borderId="4" xfId="0" applyFont="1" applyFill="1" applyBorder="1" applyAlignment="1">
      <alignment horizontal="left" vertical="center"/>
    </xf>
    <xf numFmtId="164" fontId="27" fillId="0" borderId="4" xfId="0" applyNumberFormat="1" applyFont="1" applyBorder="1" applyAlignment="1">
      <alignment horizontal="center" vertical="center"/>
    </xf>
    <xf numFmtId="0" fontId="28" fillId="10" borderId="4" xfId="0" applyFont="1" applyFill="1" applyBorder="1" applyAlignment="1">
      <alignment horizontal="left" vertical="center"/>
    </xf>
    <xf numFmtId="164" fontId="28" fillId="0" borderId="4" xfId="0" applyNumberFormat="1" applyFont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center"/>
    </xf>
    <xf numFmtId="164" fontId="13" fillId="2" borderId="4" xfId="0" applyNumberFormat="1" applyFont="1" applyFill="1" applyBorder="1" applyAlignment="1">
      <alignment horizontal="center" vertical="center"/>
    </xf>
    <xf numFmtId="168" fontId="13" fillId="8" borderId="4" xfId="0" applyNumberFormat="1" applyFont="1" applyFill="1" applyBorder="1" applyAlignment="1">
      <alignment horizontal="center" vertical="center"/>
    </xf>
    <xf numFmtId="168" fontId="13" fillId="4" borderId="4" xfId="0" applyNumberFormat="1" applyFont="1" applyFill="1" applyBorder="1" applyAlignment="1">
      <alignment horizontal="center" vertical="center"/>
    </xf>
    <xf numFmtId="0" fontId="29" fillId="11" borderId="4" xfId="0" applyFont="1" applyFill="1" applyBorder="1" applyAlignment="1">
      <alignment horizontal="center" vertical="center"/>
    </xf>
    <xf numFmtId="0" fontId="30" fillId="10" borderId="4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left" vertical="center"/>
    </xf>
    <xf numFmtId="164" fontId="32" fillId="13" borderId="4" xfId="0" applyNumberFormat="1" applyFont="1" applyFill="1" applyBorder="1" applyAlignment="1">
      <alignment horizontal="center" vertical="center"/>
    </xf>
    <xf numFmtId="164" fontId="28" fillId="6" borderId="4" xfId="0" applyNumberFormat="1" applyFont="1" applyFill="1" applyBorder="1" applyAlignment="1">
      <alignment horizontal="center" vertical="center"/>
    </xf>
    <xf numFmtId="166" fontId="27" fillId="6" borderId="4" xfId="0" applyNumberFormat="1" applyFont="1" applyFill="1" applyBorder="1" applyAlignment="1">
      <alignment horizontal="center" vertical="center"/>
    </xf>
    <xf numFmtId="165" fontId="27" fillId="6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164" fontId="13" fillId="4" borderId="4" xfId="0" applyNumberFormat="1" applyFont="1" applyFill="1" applyBorder="1" applyAlignment="1">
      <alignment horizontal="center" vertical="center"/>
    </xf>
    <xf numFmtId="166" fontId="13" fillId="4" borderId="4" xfId="0" applyNumberFormat="1" applyFont="1" applyFill="1" applyBorder="1" applyAlignment="1">
      <alignment horizontal="center" vertical="center"/>
    </xf>
    <xf numFmtId="165" fontId="13" fillId="4" borderId="4" xfId="0" applyNumberFormat="1" applyFont="1" applyFill="1" applyBorder="1" applyAlignment="1">
      <alignment horizontal="center" vertical="center"/>
    </xf>
    <xf numFmtId="166" fontId="27" fillId="0" borderId="4" xfId="0" applyNumberFormat="1" applyFont="1" applyBorder="1" applyAlignment="1">
      <alignment horizontal="center" vertical="center"/>
    </xf>
    <xf numFmtId="165" fontId="27" fillId="0" borderId="4" xfId="0" applyNumberFormat="1" applyFont="1" applyBorder="1" applyAlignment="1">
      <alignment horizontal="center" vertical="center"/>
    </xf>
    <xf numFmtId="166" fontId="13" fillId="2" borderId="4" xfId="0" applyNumberFormat="1" applyFont="1" applyFill="1" applyBorder="1" applyAlignment="1">
      <alignment horizontal="center" vertical="center"/>
    </xf>
    <xf numFmtId="165" fontId="13" fillId="2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33" fillId="0" borderId="0" xfId="0" applyFont="1"/>
    <xf numFmtId="14" fontId="27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164" fontId="34" fillId="13" borderId="4" xfId="0" applyNumberFormat="1" applyFont="1" applyFill="1" applyBorder="1" applyAlignment="1">
      <alignment horizontal="center" vertical="center"/>
    </xf>
    <xf numFmtId="0" fontId="28" fillId="0" borderId="0" xfId="0" applyFont="1"/>
    <xf numFmtId="0" fontId="27" fillId="0" borderId="0" xfId="0" applyFont="1"/>
    <xf numFmtId="0" fontId="25" fillId="0" borderId="4" xfId="0" applyFont="1" applyBorder="1" applyAlignment="1">
      <alignment vertical="top" wrapText="1"/>
    </xf>
    <xf numFmtId="0" fontId="16" fillId="0" borderId="4" xfId="0" applyFont="1" applyBorder="1" applyAlignment="1">
      <alignment vertical="top" wrapText="1"/>
    </xf>
    <xf numFmtId="164" fontId="0" fillId="0" borderId="0" xfId="0" applyNumberFormat="1"/>
    <xf numFmtId="9" fontId="0" fillId="0" borderId="0" xfId="1" applyFont="1"/>
    <xf numFmtId="166" fontId="0" fillId="0" borderId="0" xfId="1" applyNumberFormat="1" applyFont="1"/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166" fontId="7" fillId="6" borderId="3" xfId="0" applyNumberFormat="1" applyFont="1" applyFill="1" applyBorder="1" applyAlignment="1">
      <alignment horizontal="center" vertical="center"/>
    </xf>
    <xf numFmtId="164" fontId="8" fillId="6" borderId="3" xfId="0" applyNumberFormat="1" applyFont="1" applyFill="1" applyBorder="1" applyAlignment="1">
      <alignment horizontal="center" vertical="center"/>
    </xf>
    <xf numFmtId="164" fontId="9" fillId="6" borderId="3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14" fillId="6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166" fontId="7" fillId="6" borderId="2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31" fillId="1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</cellXfs>
  <cellStyles count="2">
    <cellStyle name="Normal" xfId="0" builtinId="0"/>
    <cellStyle name="Porcentagem" xfId="1" builtinId="5"/>
  </cellStyles>
  <dxfs count="2">
    <dxf>
      <font>
        <b/>
        <sz val="10"/>
        <color rgb="FFC00000"/>
        <name val="Arial"/>
        <charset val="1"/>
      </font>
    </dxf>
    <dxf>
      <font>
        <b/>
        <sz val="10"/>
        <color rgb="FF2E7D32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DE030F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95959"/>
      <rgbColor rgb="FF800080"/>
      <rgbColor rgb="FF008080"/>
      <rgbColor rgb="FFBFBFBF"/>
      <rgbColor rgb="FF808080"/>
      <rgbColor rgb="FF6E7B8B"/>
      <rgbColor rgb="FF7C4B8B"/>
      <rgbColor rgb="FFFFF7E0"/>
      <rgbColor rgb="FFD6E4F0"/>
      <rgbColor rgb="FF660066"/>
      <rgbColor rgb="FFFF8080"/>
      <rgbColor rgb="FF2E5C8A"/>
      <rgbColor rgb="FFD9D9D9"/>
      <rgbColor rgb="FF000080"/>
      <rgbColor rgb="FFFF00FF"/>
      <rgbColor rgb="FFFFFF00"/>
      <rgbColor rgb="FF00FFFF"/>
      <rgbColor rgb="FF800080"/>
      <rgbColor rgb="FFDD040F"/>
      <rgbColor rgb="FF008080"/>
      <rgbColor rgb="FF0000FF"/>
      <rgbColor rgb="FF00CCFF"/>
      <rgbColor rgb="FFF2F2F2"/>
      <rgbColor rgb="FFEDE1F2"/>
      <rgbColor rgb="FFFFFF99"/>
      <rgbColor rgb="FFB7BEC6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878787"/>
      <rgbColor rgb="FF10358E"/>
      <rgbColor rgb="FF2E7D32"/>
      <rgbColor rgb="FF0B4626"/>
      <rgbColor rgb="FF0F472C"/>
      <rgbColor rgb="FFDD0311"/>
      <rgbColor rgb="FFC0504D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diária dos carregamentos — Próprio x Terceiro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Frota própria</c:v>
          </c:tx>
          <c:spPr>
            <a:solidFill>
              <a:srgbClr val="0F472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'Totais Diários'!$C$5:$AG$5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'Totais Diários'!$C$12:$AG$12</c:f>
              <c:numCache>
                <c:formatCode>#,##0;\-#,##0;\-</c:formatCode>
                <c:ptCount val="31"/>
                <c:pt idx="0">
                  <c:v>48</c:v>
                </c:pt>
                <c:pt idx="1">
                  <c:v>24</c:v>
                </c:pt>
                <c:pt idx="2">
                  <c:v>29</c:v>
                </c:pt>
                <c:pt idx="3">
                  <c:v>59</c:v>
                </c:pt>
                <c:pt idx="4">
                  <c:v>62</c:v>
                </c:pt>
                <c:pt idx="5">
                  <c:v>57</c:v>
                </c:pt>
                <c:pt idx="6">
                  <c:v>58</c:v>
                </c:pt>
                <c:pt idx="7">
                  <c:v>51</c:v>
                </c:pt>
                <c:pt idx="8">
                  <c:v>0</c:v>
                </c:pt>
                <c:pt idx="9">
                  <c:v>26</c:v>
                </c:pt>
                <c:pt idx="10">
                  <c:v>68</c:v>
                </c:pt>
                <c:pt idx="11">
                  <c:v>59</c:v>
                </c:pt>
                <c:pt idx="12">
                  <c:v>65</c:v>
                </c:pt>
                <c:pt idx="13">
                  <c:v>58</c:v>
                </c:pt>
                <c:pt idx="14">
                  <c:v>43</c:v>
                </c:pt>
                <c:pt idx="15">
                  <c:v>0</c:v>
                </c:pt>
                <c:pt idx="16">
                  <c:v>31</c:v>
                </c:pt>
                <c:pt idx="17">
                  <c:v>56</c:v>
                </c:pt>
                <c:pt idx="18">
                  <c:v>59</c:v>
                </c:pt>
                <c:pt idx="19">
                  <c:v>57</c:v>
                </c:pt>
                <c:pt idx="20">
                  <c:v>50</c:v>
                </c:pt>
                <c:pt idx="21">
                  <c:v>55</c:v>
                </c:pt>
                <c:pt idx="22">
                  <c:v>0</c:v>
                </c:pt>
                <c:pt idx="23">
                  <c:v>31</c:v>
                </c:pt>
                <c:pt idx="24">
                  <c:v>56</c:v>
                </c:pt>
                <c:pt idx="25">
                  <c:v>61</c:v>
                </c:pt>
                <c:pt idx="26">
                  <c:v>53</c:v>
                </c:pt>
                <c:pt idx="27">
                  <c:v>51</c:v>
                </c:pt>
                <c:pt idx="28">
                  <c:v>62</c:v>
                </c:pt>
                <c:pt idx="29">
                  <c:v>0</c:v>
                </c:pt>
                <c:pt idx="3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2-4471-95E1-73A130BD81FD}"/>
            </c:ext>
          </c:extLst>
        </c:ser>
        <c:ser>
          <c:idx val="1"/>
          <c:order val="1"/>
          <c:tx>
            <c:v>Terceiros</c:v>
          </c:tx>
          <c:spPr>
            <a:solidFill>
              <a:srgbClr val="B7BE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'Totais Diários'!$C$5:$AG$5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'Totais Diários'!$C$13:$AG$13</c:f>
              <c:numCache>
                <c:formatCode>#,##0;\-#,##0;\-</c:formatCode>
                <c:ptCount val="31"/>
                <c:pt idx="0">
                  <c:v>15</c:v>
                </c:pt>
                <c:pt idx="1">
                  <c:v>3</c:v>
                </c:pt>
                <c:pt idx="2">
                  <c:v>51</c:v>
                </c:pt>
                <c:pt idx="3">
                  <c:v>51</c:v>
                </c:pt>
                <c:pt idx="4">
                  <c:v>52</c:v>
                </c:pt>
                <c:pt idx="5">
                  <c:v>48</c:v>
                </c:pt>
                <c:pt idx="6">
                  <c:v>56</c:v>
                </c:pt>
                <c:pt idx="7">
                  <c:v>30</c:v>
                </c:pt>
                <c:pt idx="8">
                  <c:v>0</c:v>
                </c:pt>
                <c:pt idx="9">
                  <c:v>22</c:v>
                </c:pt>
                <c:pt idx="10">
                  <c:v>33</c:v>
                </c:pt>
                <c:pt idx="11">
                  <c:v>39</c:v>
                </c:pt>
                <c:pt idx="12">
                  <c:v>21</c:v>
                </c:pt>
                <c:pt idx="13">
                  <c:v>35</c:v>
                </c:pt>
                <c:pt idx="14">
                  <c:v>14</c:v>
                </c:pt>
                <c:pt idx="15">
                  <c:v>0</c:v>
                </c:pt>
                <c:pt idx="16">
                  <c:v>34</c:v>
                </c:pt>
                <c:pt idx="17">
                  <c:v>43</c:v>
                </c:pt>
                <c:pt idx="18">
                  <c:v>30</c:v>
                </c:pt>
                <c:pt idx="19">
                  <c:v>21</c:v>
                </c:pt>
                <c:pt idx="20">
                  <c:v>33</c:v>
                </c:pt>
                <c:pt idx="21">
                  <c:v>21</c:v>
                </c:pt>
                <c:pt idx="22">
                  <c:v>0</c:v>
                </c:pt>
                <c:pt idx="23">
                  <c:v>48</c:v>
                </c:pt>
                <c:pt idx="24">
                  <c:v>41</c:v>
                </c:pt>
                <c:pt idx="25">
                  <c:v>27</c:v>
                </c:pt>
                <c:pt idx="26">
                  <c:v>23</c:v>
                </c:pt>
                <c:pt idx="27">
                  <c:v>25</c:v>
                </c:pt>
                <c:pt idx="28">
                  <c:v>16</c:v>
                </c:pt>
                <c:pt idx="29">
                  <c:v>0</c:v>
                </c:pt>
                <c:pt idx="3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2-4471-95E1-73A130BD8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337860"/>
        <c:axId val="21400475"/>
      </c:barChart>
      <c:catAx>
        <c:axId val="553378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1400475"/>
        <c:crosses val="autoZero"/>
        <c:auto val="1"/>
        <c:lblAlgn val="ctr"/>
        <c:lblOffset val="100"/>
        <c:noMultiLvlLbl val="0"/>
      </c:catAx>
      <c:valAx>
        <c:axId val="21400475"/>
        <c:scaling>
          <c:orientation val="minMax"/>
        </c:scaling>
        <c:delete val="0"/>
        <c:axPos val="l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53378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Carregamentos por empresa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Consolidado!$B$6:$B$11</c:f>
              <c:strCache>
                <c:ptCount val="6"/>
                <c:pt idx="0">
                  <c:v>Predilecta</c:v>
                </c:pt>
                <c:pt idx="1">
                  <c:v>Salsaretti</c:v>
                </c:pt>
                <c:pt idx="2">
                  <c:v>Stella d'Oro</c:v>
                </c:pt>
                <c:pt idx="3">
                  <c:v>Sofruta</c:v>
                </c:pt>
                <c:pt idx="4">
                  <c:v>Minas Mais</c:v>
                </c:pt>
                <c:pt idx="5">
                  <c:v>Nordeste Mais</c:v>
                </c:pt>
              </c:strCache>
            </c:strRef>
          </c:cat>
          <c:val>
            <c:numRef>
              <c:f>Consolidado!$H$6:$H$11</c:f>
              <c:numCache>
                <c:formatCode>#,##0;\-#,##0;\-</c:formatCode>
                <c:ptCount val="6"/>
                <c:pt idx="0">
                  <c:v>706</c:v>
                </c:pt>
                <c:pt idx="1">
                  <c:v>321</c:v>
                </c:pt>
                <c:pt idx="2">
                  <c:v>379</c:v>
                </c:pt>
                <c:pt idx="3">
                  <c:v>474</c:v>
                </c:pt>
                <c:pt idx="4">
                  <c:v>382</c:v>
                </c:pt>
                <c:pt idx="5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5-4EAC-9835-A0F3CDABD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19998"/>
        <c:axId val="90992635"/>
      </c:barChart>
      <c:catAx>
        <c:axId val="513199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0992635"/>
        <c:crosses val="autoZero"/>
        <c:auto val="1"/>
        <c:lblAlgn val="ctr"/>
        <c:lblOffset val="100"/>
        <c:noMultiLvlLbl val="0"/>
      </c:catAx>
      <c:valAx>
        <c:axId val="90992635"/>
        <c:scaling>
          <c:orientation val="minMax"/>
        </c:scaling>
        <c:delete val="0"/>
        <c:axPos val="b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1319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Mix por modalidade de transporte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04F-47AB-9CA7-810E523E73F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04F-47AB-9CA7-810E523E73F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04F-47AB-9CA7-810E523E73F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04F-47AB-9CA7-810E523E73F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04F-47AB-9CA7-810E523E73F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4F-47AB-9CA7-810E523E73F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4F-47AB-9CA7-810E523E73F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4F-47AB-9CA7-810E523E73F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04F-47AB-9CA7-810E523E73F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04F-47AB-9CA7-810E523E73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Consolidado!$C$5:$G$5</c:f>
              <c:strCache>
                <c:ptCount val="5"/>
                <c:pt idx="0">
                  <c:v>FROTA</c:v>
                </c:pt>
                <c:pt idx="1">
                  <c:v>TRANSPREDI</c:v>
                </c:pt>
                <c:pt idx="2">
                  <c:v>TRANSPREDI CONTRATADO</c:v>
                </c:pt>
                <c:pt idx="3">
                  <c:v>TERCEIROS</c:v>
                </c:pt>
                <c:pt idx="4">
                  <c:v>FOB</c:v>
                </c:pt>
              </c:strCache>
            </c:strRef>
          </c:cat>
          <c:val>
            <c:numRef>
              <c:f>Consolidado!$C$12:$G$12</c:f>
              <c:numCache>
                <c:formatCode>#,##0;\-#,##0;\-</c:formatCode>
                <c:ptCount val="5"/>
                <c:pt idx="0">
                  <c:v>1138</c:v>
                </c:pt>
                <c:pt idx="1">
                  <c:v>221</c:v>
                </c:pt>
                <c:pt idx="2">
                  <c:v>155</c:v>
                </c:pt>
                <c:pt idx="3">
                  <c:v>720</c:v>
                </c:pt>
                <c:pt idx="4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4F-47AB-9CA7-810E523E7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Aproveitamento: viagens por veículo no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F472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Consolidado!$B$26:$B$31</c:f>
              <c:strCache>
                <c:ptCount val="6"/>
                <c:pt idx="0">
                  <c:v>Predilecta</c:v>
                </c:pt>
                <c:pt idx="1">
                  <c:v>Salsaretti</c:v>
                </c:pt>
                <c:pt idx="2">
                  <c:v>Stella d'Oro</c:v>
                </c:pt>
                <c:pt idx="3">
                  <c:v>Sofruta</c:v>
                </c:pt>
                <c:pt idx="4">
                  <c:v>Minas Mais</c:v>
                </c:pt>
                <c:pt idx="5">
                  <c:v>Nordeste Mais</c:v>
                </c:pt>
              </c:strCache>
            </c:strRef>
          </c:cat>
          <c:val>
            <c:numRef>
              <c:f>Consolidado!$E$26:$E$31</c:f>
              <c:numCache>
                <c:formatCode>0.0</c:formatCode>
                <c:ptCount val="6"/>
                <c:pt idx="0">
                  <c:v>9.787234042553191</c:v>
                </c:pt>
                <c:pt idx="1">
                  <c:v>12.333333333333334</c:v>
                </c:pt>
                <c:pt idx="2">
                  <c:v>12.5</c:v>
                </c:pt>
                <c:pt idx="3">
                  <c:v>10.692307692307692</c:v>
                </c:pt>
                <c:pt idx="4">
                  <c:v>9.1999999999999993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6-40BD-ADA7-0318AFAFA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74066"/>
        <c:axId val="74679685"/>
      </c:barChart>
      <c:catAx>
        <c:axId val="19174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4679685"/>
        <c:crosses val="autoZero"/>
        <c:auto val="1"/>
        <c:lblAlgn val="ctr"/>
        <c:lblOffset val="100"/>
        <c:noMultiLvlLbl val="0"/>
      </c:catAx>
      <c:valAx>
        <c:axId val="74679685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1740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Composição por empresa: frota própria x terceiros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Consolidado!$C$15</c:f>
              <c:strCache>
                <c:ptCount val="1"/>
                <c:pt idx="0">
                  <c:v>FROTA PRÓPRIA
(Frota + Transpredi)</c:v>
                </c:pt>
              </c:strCache>
            </c:strRef>
          </c:tx>
          <c:spPr>
            <a:solidFill>
              <a:srgbClr val="0F472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Consolidado!$B$16:$B$21</c:f>
              <c:strCache>
                <c:ptCount val="6"/>
                <c:pt idx="0">
                  <c:v>Predilecta</c:v>
                </c:pt>
                <c:pt idx="1">
                  <c:v>Salsaretti</c:v>
                </c:pt>
                <c:pt idx="2">
                  <c:v>Stella d'Oro</c:v>
                </c:pt>
                <c:pt idx="3">
                  <c:v>Sofruta</c:v>
                </c:pt>
                <c:pt idx="4">
                  <c:v>Minas Mais</c:v>
                </c:pt>
                <c:pt idx="5">
                  <c:v>Nordeste Mais</c:v>
                </c:pt>
              </c:strCache>
            </c:strRef>
          </c:cat>
          <c:val>
            <c:numRef>
              <c:f>Consolidado!$C$16:$C$21</c:f>
              <c:numCache>
                <c:formatCode>#,##0;\-#,##0;\-</c:formatCode>
                <c:ptCount val="6"/>
                <c:pt idx="0">
                  <c:v>460</c:v>
                </c:pt>
                <c:pt idx="1">
                  <c:v>148</c:v>
                </c:pt>
                <c:pt idx="2">
                  <c:v>250</c:v>
                </c:pt>
                <c:pt idx="3">
                  <c:v>278</c:v>
                </c:pt>
                <c:pt idx="4">
                  <c:v>184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D-4407-ADE7-24E08151BC1A}"/>
            </c:ext>
          </c:extLst>
        </c:ser>
        <c:ser>
          <c:idx val="1"/>
          <c:order val="1"/>
          <c:tx>
            <c:strRef>
              <c:f>Consolidado!$D$15</c:f>
              <c:strCache>
                <c:ptCount val="1"/>
                <c:pt idx="0">
                  <c:v>TERCEIRO
(Contratado + Terceiros)</c:v>
                </c:pt>
              </c:strCache>
            </c:strRef>
          </c:tx>
          <c:spPr>
            <a:solidFill>
              <a:srgbClr val="B7BE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Consolidado!$B$16:$B$21</c:f>
              <c:strCache>
                <c:ptCount val="6"/>
                <c:pt idx="0">
                  <c:v>Predilecta</c:v>
                </c:pt>
                <c:pt idx="1">
                  <c:v>Salsaretti</c:v>
                </c:pt>
                <c:pt idx="2">
                  <c:v>Stella d'Oro</c:v>
                </c:pt>
                <c:pt idx="3">
                  <c:v>Sofruta</c:v>
                </c:pt>
                <c:pt idx="4">
                  <c:v>Minas Mais</c:v>
                </c:pt>
                <c:pt idx="5">
                  <c:v>Nordeste Mais</c:v>
                </c:pt>
              </c:strCache>
            </c:strRef>
          </c:cat>
          <c:val>
            <c:numRef>
              <c:f>Consolidado!$D$16:$D$21</c:f>
              <c:numCache>
                <c:formatCode>#,##0;\-#,##0;\-</c:formatCode>
                <c:ptCount val="6"/>
                <c:pt idx="0">
                  <c:v>201</c:v>
                </c:pt>
                <c:pt idx="1">
                  <c:v>164</c:v>
                </c:pt>
                <c:pt idx="2">
                  <c:v>106</c:v>
                </c:pt>
                <c:pt idx="3">
                  <c:v>174</c:v>
                </c:pt>
                <c:pt idx="4">
                  <c:v>171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D-4407-ADE7-24E08151B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20541"/>
        <c:axId val="34478407"/>
      </c:barChart>
      <c:catAx>
        <c:axId val="103205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478407"/>
        <c:crosses val="autoZero"/>
        <c:auto val="1"/>
        <c:lblAlgn val="ctr"/>
        <c:lblOffset val="100"/>
        <c:noMultiLvlLbl val="0"/>
      </c:catAx>
      <c:valAx>
        <c:axId val="34478407"/>
        <c:scaling>
          <c:orientation val="minMax"/>
        </c:scaling>
        <c:delete val="0"/>
        <c:axPos val="l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03205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Carregamentos por dia — frota própria x terceiros (FOB não incluído)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Frota própria</c:v>
          </c:tx>
          <c:spPr>
            <a:solidFill>
              <a:srgbClr val="0F472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'Totais Diários'!$C$5:$AG$5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'Totais Diários'!$C$12:$AG$12</c:f>
              <c:numCache>
                <c:formatCode>#,##0;\-#,##0;\-</c:formatCode>
                <c:ptCount val="31"/>
                <c:pt idx="0">
                  <c:v>48</c:v>
                </c:pt>
                <c:pt idx="1">
                  <c:v>24</c:v>
                </c:pt>
                <c:pt idx="2">
                  <c:v>29</c:v>
                </c:pt>
                <c:pt idx="3">
                  <c:v>59</c:v>
                </c:pt>
                <c:pt idx="4">
                  <c:v>62</c:v>
                </c:pt>
                <c:pt idx="5">
                  <c:v>57</c:v>
                </c:pt>
                <c:pt idx="6">
                  <c:v>58</c:v>
                </c:pt>
                <c:pt idx="7">
                  <c:v>51</c:v>
                </c:pt>
                <c:pt idx="8">
                  <c:v>0</c:v>
                </c:pt>
                <c:pt idx="9">
                  <c:v>26</c:v>
                </c:pt>
                <c:pt idx="10">
                  <c:v>68</c:v>
                </c:pt>
                <c:pt idx="11">
                  <c:v>59</c:v>
                </c:pt>
                <c:pt idx="12">
                  <c:v>65</c:v>
                </c:pt>
                <c:pt idx="13">
                  <c:v>58</c:v>
                </c:pt>
                <c:pt idx="14">
                  <c:v>43</c:v>
                </c:pt>
                <c:pt idx="15">
                  <c:v>0</c:v>
                </c:pt>
                <c:pt idx="16">
                  <c:v>31</c:v>
                </c:pt>
                <c:pt idx="17">
                  <c:v>56</c:v>
                </c:pt>
                <c:pt idx="18">
                  <c:v>59</c:v>
                </c:pt>
                <c:pt idx="19">
                  <c:v>57</c:v>
                </c:pt>
                <c:pt idx="20">
                  <c:v>50</c:v>
                </c:pt>
                <c:pt idx="21">
                  <c:v>55</c:v>
                </c:pt>
                <c:pt idx="22">
                  <c:v>0</c:v>
                </c:pt>
                <c:pt idx="23">
                  <c:v>31</c:v>
                </c:pt>
                <c:pt idx="24">
                  <c:v>56</c:v>
                </c:pt>
                <c:pt idx="25">
                  <c:v>61</c:v>
                </c:pt>
                <c:pt idx="26">
                  <c:v>53</c:v>
                </c:pt>
                <c:pt idx="27">
                  <c:v>51</c:v>
                </c:pt>
                <c:pt idx="28">
                  <c:v>62</c:v>
                </c:pt>
                <c:pt idx="29">
                  <c:v>0</c:v>
                </c:pt>
                <c:pt idx="3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2-449D-A791-E2BAB6367988}"/>
            </c:ext>
          </c:extLst>
        </c:ser>
        <c:ser>
          <c:idx val="1"/>
          <c:order val="1"/>
          <c:tx>
            <c:v>Terceiros</c:v>
          </c:tx>
          <c:spPr>
            <a:solidFill>
              <a:srgbClr val="B7BE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'Totais Diários'!$C$5:$AG$5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'Totais Diários'!$C$13:$AG$13</c:f>
              <c:numCache>
                <c:formatCode>#,##0;\-#,##0;\-</c:formatCode>
                <c:ptCount val="31"/>
                <c:pt idx="0">
                  <c:v>15</c:v>
                </c:pt>
                <c:pt idx="1">
                  <c:v>3</c:v>
                </c:pt>
                <c:pt idx="2">
                  <c:v>51</c:v>
                </c:pt>
                <c:pt idx="3">
                  <c:v>51</c:v>
                </c:pt>
                <c:pt idx="4">
                  <c:v>52</c:v>
                </c:pt>
                <c:pt idx="5">
                  <c:v>48</c:v>
                </c:pt>
                <c:pt idx="6">
                  <c:v>56</c:v>
                </c:pt>
                <c:pt idx="7">
                  <c:v>30</c:v>
                </c:pt>
                <c:pt idx="8">
                  <c:v>0</c:v>
                </c:pt>
                <c:pt idx="9">
                  <c:v>22</c:v>
                </c:pt>
                <c:pt idx="10">
                  <c:v>33</c:v>
                </c:pt>
                <c:pt idx="11">
                  <c:v>39</c:v>
                </c:pt>
                <c:pt idx="12">
                  <c:v>21</c:v>
                </c:pt>
                <c:pt idx="13">
                  <c:v>35</c:v>
                </c:pt>
                <c:pt idx="14">
                  <c:v>14</c:v>
                </c:pt>
                <c:pt idx="15">
                  <c:v>0</c:v>
                </c:pt>
                <c:pt idx="16">
                  <c:v>34</c:v>
                </c:pt>
                <c:pt idx="17">
                  <c:v>43</c:v>
                </c:pt>
                <c:pt idx="18">
                  <c:v>30</c:v>
                </c:pt>
                <c:pt idx="19">
                  <c:v>21</c:v>
                </c:pt>
                <c:pt idx="20">
                  <c:v>33</c:v>
                </c:pt>
                <c:pt idx="21">
                  <c:v>21</c:v>
                </c:pt>
                <c:pt idx="22">
                  <c:v>0</c:v>
                </c:pt>
                <c:pt idx="23">
                  <c:v>48</c:v>
                </c:pt>
                <c:pt idx="24">
                  <c:v>41</c:v>
                </c:pt>
                <c:pt idx="25">
                  <c:v>27</c:v>
                </c:pt>
                <c:pt idx="26">
                  <c:v>23</c:v>
                </c:pt>
                <c:pt idx="27">
                  <c:v>25</c:v>
                </c:pt>
                <c:pt idx="28">
                  <c:v>16</c:v>
                </c:pt>
                <c:pt idx="29">
                  <c:v>0</c:v>
                </c:pt>
                <c:pt idx="3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52-449D-A791-E2BAB6367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03537"/>
        <c:axId val="59540935"/>
      </c:barChart>
      <c:catAx>
        <c:axId val="711035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9540935"/>
        <c:crosses val="autoZero"/>
        <c:auto val="1"/>
        <c:lblAlgn val="ctr"/>
        <c:lblOffset val="100"/>
        <c:noMultiLvlLbl val="0"/>
      </c:catAx>
      <c:valAx>
        <c:axId val="59540935"/>
        <c:scaling>
          <c:orientation val="minMax"/>
        </c:scaling>
        <c:delete val="0"/>
        <c:axPos val="l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11035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6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14</xdr:col>
      <xdr:colOff>61920</xdr:colOff>
      <xdr:row>27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291600</xdr:colOff>
      <xdr:row>46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30</xdr:row>
      <xdr:rowOff>0</xdr:rowOff>
    </xdr:from>
    <xdr:to>
      <xdr:col>14</xdr:col>
      <xdr:colOff>291600</xdr:colOff>
      <xdr:row>46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7</xdr:col>
      <xdr:colOff>291600</xdr:colOff>
      <xdr:row>65</xdr:row>
      <xdr:rowOff>11880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49</xdr:row>
      <xdr:rowOff>0</xdr:rowOff>
    </xdr:from>
    <xdr:to>
      <xdr:col>14</xdr:col>
      <xdr:colOff>291600</xdr:colOff>
      <xdr:row>65</xdr:row>
      <xdr:rowOff>11880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12</xdr:col>
      <xdr:colOff>552870</xdr:colOff>
      <xdr:row>21</xdr:row>
      <xdr:rowOff>17640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933120</xdr:colOff>
      <xdr:row>1</xdr:row>
      <xdr:rowOff>18720</xdr:rowOff>
    </xdr:to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6200" y="0"/>
          <a:ext cx="933120" cy="34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553950</xdr:colOff>
      <xdr:row>1</xdr:row>
      <xdr:rowOff>56520</xdr:rowOff>
    </xdr:to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564400" y="0"/>
          <a:ext cx="542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437760</xdr:colOff>
      <xdr:row>24</xdr:row>
      <xdr:rowOff>173070</xdr:rowOff>
    </xdr:to>
    <xdr:pic>
      <xdr:nvPicPr>
        <xdr:cNvPr id="8" name="Image 4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6200" y="4886280"/>
          <a:ext cx="437760" cy="16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365445</xdr:colOff>
      <xdr:row>25</xdr:row>
      <xdr:rowOff>173070</xdr:rowOff>
    </xdr:to>
    <xdr:pic>
      <xdr:nvPicPr>
        <xdr:cNvPr id="9" name="Image 5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06200" y="5133960"/>
          <a:ext cx="371160" cy="16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439830</xdr:colOff>
      <xdr:row>26</xdr:row>
      <xdr:rowOff>173070</xdr:rowOff>
    </xdr:to>
    <xdr:pic>
      <xdr:nvPicPr>
        <xdr:cNvPr id="10" name="Image 6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06200" y="5381640"/>
          <a:ext cx="428400" cy="16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323640</xdr:colOff>
      <xdr:row>27</xdr:row>
      <xdr:rowOff>173070</xdr:rowOff>
    </xdr:to>
    <xdr:pic>
      <xdr:nvPicPr>
        <xdr:cNvPr id="11" name="Image 7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06200" y="5629320"/>
          <a:ext cx="323640" cy="16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249030</xdr:colOff>
      <xdr:row>28</xdr:row>
      <xdr:rowOff>173070</xdr:rowOff>
    </xdr:to>
    <xdr:pic>
      <xdr:nvPicPr>
        <xdr:cNvPr id="12" name="Image 8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06200" y="5877000"/>
          <a:ext cx="237600" cy="16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323640</xdr:colOff>
      <xdr:row>29</xdr:row>
      <xdr:rowOff>173070</xdr:rowOff>
    </xdr:to>
    <xdr:pic>
      <xdr:nvPicPr>
        <xdr:cNvPr id="13" name="Image 9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06200" y="6124680"/>
          <a:ext cx="323640" cy="16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5</xdr:row>
      <xdr:rowOff>0</xdr:rowOff>
    </xdr:from>
    <xdr:to>
      <xdr:col>35</xdr:col>
      <xdr:colOff>79560</xdr:colOff>
      <xdr:row>5</xdr:row>
      <xdr:rowOff>247320</xdr:rowOff>
    </xdr:to>
    <xdr:pic>
      <xdr:nvPicPr>
        <xdr:cNvPr id="14" name="Image 1" descr="Pictur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09040" y="1152360"/>
          <a:ext cx="71388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399600</xdr:colOff>
      <xdr:row>13</xdr:row>
      <xdr:rowOff>247320</xdr:rowOff>
    </xdr:to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209040" y="2857680"/>
          <a:ext cx="39960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517725</xdr:colOff>
      <xdr:row>21</xdr:row>
      <xdr:rowOff>247320</xdr:rowOff>
    </xdr:to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2209040" y="4562640"/>
          <a:ext cx="52344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34</xdr:col>
      <xdr:colOff>0</xdr:colOff>
      <xdr:row>29</xdr:row>
      <xdr:rowOff>0</xdr:rowOff>
    </xdr:from>
    <xdr:to>
      <xdr:col>34</xdr:col>
      <xdr:colOff>477630</xdr:colOff>
      <xdr:row>29</xdr:row>
      <xdr:rowOff>247320</xdr:rowOff>
    </xdr:to>
    <xdr:pic>
      <xdr:nvPicPr>
        <xdr:cNvPr id="17" name="Image 4" descr="Picture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2209040" y="6267600"/>
          <a:ext cx="46620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34</xdr:col>
      <xdr:colOff>0</xdr:colOff>
      <xdr:row>37</xdr:row>
      <xdr:rowOff>0</xdr:rowOff>
    </xdr:from>
    <xdr:to>
      <xdr:col>34</xdr:col>
      <xdr:colOff>399600</xdr:colOff>
      <xdr:row>37</xdr:row>
      <xdr:rowOff>247320</xdr:rowOff>
    </xdr:to>
    <xdr:pic>
      <xdr:nvPicPr>
        <xdr:cNvPr id="18" name="Image 5" descr="Picture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2209040" y="7972560"/>
          <a:ext cx="39960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34</xdr:col>
      <xdr:colOff>0</xdr:colOff>
      <xdr:row>45</xdr:row>
      <xdr:rowOff>0</xdr:rowOff>
    </xdr:from>
    <xdr:to>
      <xdr:col>34</xdr:col>
      <xdr:colOff>365445</xdr:colOff>
      <xdr:row>45</xdr:row>
      <xdr:rowOff>247320</xdr:rowOff>
    </xdr:to>
    <xdr:pic>
      <xdr:nvPicPr>
        <xdr:cNvPr id="19" name="Image 6" descr="Picture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2209040" y="9677520"/>
          <a:ext cx="371160" cy="247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7</xdr:col>
      <xdr:colOff>658905</xdr:colOff>
      <xdr:row>5</xdr:row>
      <xdr:rowOff>228240</xdr:rowOff>
    </xdr:to>
    <xdr:pic>
      <xdr:nvPicPr>
        <xdr:cNvPr id="20" name="Image 1" descr="Picture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7880" y="1419120"/>
          <a:ext cx="65700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369255</xdr:colOff>
      <xdr:row>6</xdr:row>
      <xdr:rowOff>228240</xdr:rowOff>
    </xdr:to>
    <xdr:pic>
      <xdr:nvPicPr>
        <xdr:cNvPr id="21" name="Image 2" descr="Picture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77880" y="1743120"/>
          <a:ext cx="37116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483375</xdr:colOff>
      <xdr:row>7</xdr:row>
      <xdr:rowOff>228240</xdr:rowOff>
    </xdr:to>
    <xdr:pic>
      <xdr:nvPicPr>
        <xdr:cNvPr id="22" name="Image 3" descr="Picture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977880" y="2066760"/>
          <a:ext cx="4852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430305</xdr:colOff>
      <xdr:row>8</xdr:row>
      <xdr:rowOff>228240</xdr:rowOff>
    </xdr:to>
    <xdr:pic>
      <xdr:nvPicPr>
        <xdr:cNvPr id="23" name="Image 4" descr="Picture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6977880" y="2390760"/>
          <a:ext cx="42840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369255</xdr:colOff>
      <xdr:row>9</xdr:row>
      <xdr:rowOff>228240</xdr:rowOff>
    </xdr:to>
    <xdr:pic>
      <xdr:nvPicPr>
        <xdr:cNvPr id="24" name="Image 5" descr="Picture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6977880" y="2714760"/>
          <a:ext cx="37116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342720</xdr:colOff>
      <xdr:row>10</xdr:row>
      <xdr:rowOff>228240</xdr:rowOff>
    </xdr:to>
    <xdr:pic>
      <xdr:nvPicPr>
        <xdr:cNvPr id="25" name="Image 6" descr="Picture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6977880" y="3038400"/>
          <a:ext cx="342720" cy="228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69"/>
  <sheetViews>
    <sheetView showGridLines="0" tabSelected="1" topLeftCell="A14" zoomScaleNormal="100" workbookViewId="0">
      <selection activeCell="K9" sqref="K9:M9"/>
    </sheetView>
  </sheetViews>
  <sheetFormatPr defaultColWidth="8.7109375" defaultRowHeight="15" x14ac:dyDescent="0.25"/>
  <cols>
    <col min="1" max="1" width="2" customWidth="1"/>
    <col min="2" max="14" width="12.42578125" customWidth="1"/>
  </cols>
  <sheetData>
    <row r="1" spans="2:14" ht="30" customHeight="1" x14ac:dyDescent="0.25">
      <c r="B1" s="99" t="s">
        <v>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2:14" ht="15.75" customHeight="1" x14ac:dyDescent="0.25">
      <c r="B2" s="100" t="s">
        <v>1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</row>
    <row r="3" spans="2:14" ht="21.75" customHeight="1" x14ac:dyDescent="0.25">
      <c r="B3" s="101" t="str">
        <f>"Período: 01/08/2026 a 31/08/2026    |    Dados lançados até o dia "&amp;TEXT(Consolidado!C35,"0")&amp;"/08/2026    |    "&amp;TEXT(Consolidado!C36,"0")&amp;" dias com operação"</f>
        <v>Período: 01/08/2026 a 31/08/2026    |    Dados lançados até o dia 31/08/2026    |    27 dias com operação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5" spans="2:14" ht="18" customHeight="1" x14ac:dyDescent="0.25">
      <c r="B5" s="86" t="s">
        <v>2</v>
      </c>
      <c r="C5" s="86"/>
      <c r="D5" s="86"/>
      <c r="E5" s="102" t="s">
        <v>3</v>
      </c>
      <c r="F5" s="102"/>
      <c r="G5" s="102"/>
      <c r="H5" s="102" t="s">
        <v>4</v>
      </c>
      <c r="I5" s="102"/>
      <c r="J5" s="102"/>
      <c r="K5" s="87" t="s">
        <v>5</v>
      </c>
      <c r="L5" s="87"/>
      <c r="M5" s="87"/>
    </row>
    <row r="6" spans="2:14" ht="33.75" customHeight="1" x14ac:dyDescent="0.25">
      <c r="B6" s="107">
        <f>Consolidado!C37</f>
        <v>2360</v>
      </c>
      <c r="C6" s="107"/>
      <c r="D6" s="107"/>
      <c r="E6" s="108">
        <f>Consolidado!C38</f>
        <v>87.407407407407405</v>
      </c>
      <c r="F6" s="108"/>
      <c r="G6" s="108"/>
      <c r="H6" s="105">
        <f>Consolidado!C39</f>
        <v>117</v>
      </c>
      <c r="I6" s="105"/>
      <c r="J6" s="105"/>
      <c r="K6" s="109">
        <f>Consolidado!C40</f>
        <v>0.60832587287376905</v>
      </c>
      <c r="L6" s="109"/>
      <c r="M6" s="109"/>
    </row>
    <row r="8" spans="2:14" ht="18" customHeight="1" x14ac:dyDescent="0.25">
      <c r="B8" s="88" t="s">
        <v>6</v>
      </c>
      <c r="C8" s="88"/>
      <c r="D8" s="88"/>
      <c r="E8" s="89" t="s">
        <v>7</v>
      </c>
      <c r="F8" s="89"/>
      <c r="G8" s="89"/>
      <c r="H8" s="102" t="s">
        <v>8</v>
      </c>
      <c r="I8" s="102"/>
      <c r="J8" s="102"/>
      <c r="K8" s="87" t="s">
        <v>9</v>
      </c>
      <c r="L8" s="87"/>
      <c r="M8" s="87"/>
    </row>
    <row r="9" spans="2:14" ht="33.75" customHeight="1" x14ac:dyDescent="0.25">
      <c r="B9" s="103">
        <f>Consolidado!C41</f>
        <v>0.39167412712623095</v>
      </c>
      <c r="C9" s="103"/>
      <c r="D9" s="103"/>
      <c r="E9" s="104">
        <f>Consolidado!C44</f>
        <v>126</v>
      </c>
      <c r="F9" s="104"/>
      <c r="G9" s="104"/>
      <c r="H9" s="105">
        <f>Consolidado!C46</f>
        <v>128</v>
      </c>
      <c r="I9" s="105"/>
      <c r="J9" s="105"/>
      <c r="K9" s="106">
        <f>Consolidado!C45</f>
        <v>10.6171875</v>
      </c>
      <c r="L9" s="106"/>
      <c r="M9" s="106"/>
    </row>
    <row r="69" spans="2:2" x14ac:dyDescent="0.25">
      <c r="B69" s="1" t="s">
        <v>10</v>
      </c>
    </row>
  </sheetData>
  <mergeCells count="19">
    <mergeCell ref="B9:D9"/>
    <mergeCell ref="E9:G9"/>
    <mergeCell ref="H9:J9"/>
    <mergeCell ref="K9:M9"/>
    <mergeCell ref="B6:D6"/>
    <mergeCell ref="E6:G6"/>
    <mergeCell ref="H6:J6"/>
    <mergeCell ref="K6:M6"/>
    <mergeCell ref="B8:D8"/>
    <mergeCell ref="E8:G8"/>
    <mergeCell ref="H8:J8"/>
    <mergeCell ref="K8:M8"/>
    <mergeCell ref="B1:N1"/>
    <mergeCell ref="B2:N2"/>
    <mergeCell ref="B3:N3"/>
    <mergeCell ref="B5:D5"/>
    <mergeCell ref="E5:G5"/>
    <mergeCell ref="H5:J5"/>
    <mergeCell ref="K5:M5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4"/>
  <sheetViews>
    <sheetView showGridLines="0" zoomScaleNormal="100" workbookViewId="0">
      <selection activeCell="N16" sqref="N16"/>
    </sheetView>
  </sheetViews>
  <sheetFormatPr defaultColWidth="8.7109375" defaultRowHeight="15" x14ac:dyDescent="0.25"/>
  <cols>
    <col min="1" max="1" width="1.5703125" customWidth="1"/>
    <col min="2" max="3" width="15" customWidth="1"/>
    <col min="4" max="13" width="10" customWidth="1"/>
  </cols>
  <sheetData>
    <row r="1" spans="2:16" ht="25.5" customHeight="1" x14ac:dyDescent="0.25">
      <c r="B1" s="2"/>
      <c r="C1" s="2"/>
      <c r="D1" s="83" t="s">
        <v>11</v>
      </c>
      <c r="E1" s="83"/>
      <c r="F1" s="83"/>
      <c r="G1" s="83"/>
      <c r="H1" s="83"/>
      <c r="I1" s="83"/>
      <c r="J1" s="83"/>
      <c r="K1" s="83"/>
      <c r="L1" s="2"/>
      <c r="M1" s="2"/>
    </row>
    <row r="2" spans="2:16" ht="19.5" customHeight="1" x14ac:dyDescent="0.25">
      <c r="B2" s="2"/>
      <c r="C2" s="2"/>
      <c r="D2" s="84" t="str">
        <f>"Posição de "&amp;TEXT(DATE(2026,8,Consolidado!$C$35),"DD/MM/YYYY")&amp;"   ·   acumulado de 01/08 a "&amp;TEXT(DATE(2026,8,Consolidado!$C$35),"DD/MM")&amp;"   ·   "&amp;TEXT(Consolidado!C36,"0")&amp;" dias com operação"</f>
        <v>Posição de 31/08/YYYY   ·   acumulado de 01/08 a 31/08   ·   27 dias com operação</v>
      </c>
      <c r="E2" s="84"/>
      <c r="F2" s="84"/>
      <c r="G2" s="84"/>
      <c r="H2" s="84"/>
      <c r="I2" s="84"/>
      <c r="J2" s="84"/>
      <c r="K2" s="84"/>
      <c r="L2" s="2"/>
      <c r="M2" s="2"/>
    </row>
    <row r="3" spans="2:16" ht="15.75" customHeigh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6" ht="15" customHeight="1" x14ac:dyDescent="0.25">
      <c r="B4" s="85" t="s">
        <v>12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</row>
    <row r="5" spans="2:16" ht="6" customHeight="1" x14ac:dyDescent="0.25"/>
    <row r="6" spans="2:16" ht="13.5" customHeight="1" x14ac:dyDescent="0.25">
      <c r="B6" s="86" t="s">
        <v>13</v>
      </c>
      <c r="C6" s="86"/>
      <c r="D6" s="87" t="s">
        <v>14</v>
      </c>
      <c r="E6" s="87"/>
      <c r="F6" s="87"/>
      <c r="G6" s="87" t="s">
        <v>15</v>
      </c>
      <c r="H6" s="87"/>
      <c r="I6" s="88" t="s">
        <v>16</v>
      </c>
      <c r="J6" s="88"/>
      <c r="K6" s="89" t="s">
        <v>17</v>
      </c>
      <c r="L6" s="89"/>
      <c r="M6" s="89"/>
    </row>
    <row r="7" spans="2:16" ht="30" customHeight="1" x14ac:dyDescent="0.25">
      <c r="B7" s="90">
        <f>INDEX('Totais Diários'!$C$11:$AG$11,1,Consolidado!$C$35)</f>
        <v>83</v>
      </c>
      <c r="C7" s="90"/>
      <c r="D7" s="91">
        <f>Consolidado!C42</f>
        <v>1359</v>
      </c>
      <c r="E7" s="91"/>
      <c r="F7" s="91"/>
      <c r="G7" s="92">
        <f>Consolidado!C40</f>
        <v>0.60832587287376905</v>
      </c>
      <c r="H7" s="92"/>
      <c r="I7" s="93">
        <f>Consolidado!C43</f>
        <v>875</v>
      </c>
      <c r="J7" s="93"/>
      <c r="K7" s="94">
        <f>Consolidado!C44</f>
        <v>126</v>
      </c>
      <c r="L7" s="94"/>
      <c r="M7" s="94"/>
      <c r="O7" s="80"/>
      <c r="P7" s="80"/>
    </row>
    <row r="8" spans="2:16" ht="12" customHeight="1" x14ac:dyDescent="0.25">
      <c r="B8" s="98" t="s">
        <v>18</v>
      </c>
      <c r="C8" s="98"/>
      <c r="D8" s="98" t="s">
        <v>19</v>
      </c>
      <c r="E8" s="98"/>
      <c r="F8" s="98"/>
      <c r="G8" s="98" t="s">
        <v>20</v>
      </c>
      <c r="H8" s="98"/>
      <c r="I8" s="98" t="s">
        <v>21</v>
      </c>
      <c r="J8" s="98"/>
      <c r="K8" s="98" t="s">
        <v>22</v>
      </c>
      <c r="L8" s="98"/>
      <c r="M8" s="98"/>
      <c r="O8" s="81"/>
      <c r="P8" s="82"/>
    </row>
    <row r="9" spans="2:16" ht="7.5" customHeight="1" x14ac:dyDescent="0.25"/>
    <row r="10" spans="2:16" ht="15" customHeight="1" x14ac:dyDescent="0.25"/>
    <row r="11" spans="2:16" ht="15" customHeight="1" x14ac:dyDescent="0.25"/>
    <row r="12" spans="2:16" ht="15" customHeight="1" x14ac:dyDescent="0.25"/>
    <row r="13" spans="2:16" ht="15" customHeight="1" x14ac:dyDescent="0.25"/>
    <row r="14" spans="2:16" ht="15" customHeight="1" x14ac:dyDescent="0.25"/>
    <row r="15" spans="2:16" ht="15" customHeight="1" x14ac:dyDescent="0.25"/>
    <row r="16" spans="2:16" ht="15" customHeight="1" x14ac:dyDescent="0.25"/>
    <row r="17" spans="2:13" ht="15" customHeight="1" x14ac:dyDescent="0.25"/>
    <row r="18" spans="2:13" ht="15" customHeight="1" x14ac:dyDescent="0.25"/>
    <row r="19" spans="2:13" ht="15" customHeight="1" x14ac:dyDescent="0.25"/>
    <row r="20" spans="2:13" ht="15" customHeight="1" x14ac:dyDescent="0.25"/>
    <row r="21" spans="2:13" ht="15" customHeight="1" x14ac:dyDescent="0.25"/>
    <row r="22" spans="2:13" ht="15" customHeight="1" x14ac:dyDescent="0.25"/>
    <row r="23" spans="2:13" ht="19.5" customHeight="1" x14ac:dyDescent="0.25">
      <c r="B23" s="95" t="s">
        <v>23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</row>
    <row r="24" spans="2:13" ht="25.5" customHeight="1" x14ac:dyDescent="0.25">
      <c r="B24" s="3"/>
      <c r="C24" s="3" t="s">
        <v>24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15</v>
      </c>
      <c r="I24" s="3" t="s">
        <v>29</v>
      </c>
      <c r="J24" s="3" t="s">
        <v>30</v>
      </c>
      <c r="K24" s="3" t="s">
        <v>31</v>
      </c>
      <c r="L24" s="3" t="s">
        <v>32</v>
      </c>
      <c r="M24" s="3" t="s">
        <v>33</v>
      </c>
    </row>
    <row r="25" spans="2:13" ht="19.5" customHeight="1" x14ac:dyDescent="0.25">
      <c r="B25" s="4"/>
      <c r="C25" s="5" t="s">
        <v>34</v>
      </c>
      <c r="D25" s="6">
        <f>INDEX('Totais Diários'!$C$18:$AG$18,1,Consolidado!$C$35)</f>
        <v>16</v>
      </c>
      <c r="E25" s="7">
        <f>INDEX('Totais Diários'!$C$28:$AG$28,1,Consolidado!$C$35)</f>
        <v>3</v>
      </c>
      <c r="F25" s="7">
        <f>Consolidado!C16</f>
        <v>460</v>
      </c>
      <c r="G25" s="6">
        <f>Consolidado!D16</f>
        <v>201</v>
      </c>
      <c r="H25" s="8">
        <f>Consolidado!F16</f>
        <v>0.69591527987897128</v>
      </c>
      <c r="I25" s="9">
        <f>Consolidado!G16</f>
        <v>0.30408472012102872</v>
      </c>
      <c r="J25" s="6">
        <f>Consolidado!H16</f>
        <v>45</v>
      </c>
      <c r="K25" s="6">
        <f>Consolidado!I16</f>
        <v>706</v>
      </c>
      <c r="L25" s="10">
        <f>Consolidado!E26</f>
        <v>9.787234042553191</v>
      </c>
      <c r="M25" s="11">
        <f>IFERROR(D25/Consolidado!I26-1,0)</f>
        <v>-0.41076487252124649</v>
      </c>
    </row>
    <row r="26" spans="2:13" ht="19.5" customHeight="1" x14ac:dyDescent="0.25">
      <c r="B26" s="4"/>
      <c r="C26" s="12" t="s">
        <v>35</v>
      </c>
      <c r="D26" s="6">
        <f>INDEX('Totais Diários'!$C$19:$AG$19,1,Consolidado!$C$35)</f>
        <v>14</v>
      </c>
      <c r="E26" s="13">
        <f>INDEX('Totais Diários'!$C$29:$AG$29,1,Consolidado!$C$35)</f>
        <v>4</v>
      </c>
      <c r="F26" s="13">
        <f>Consolidado!C17</f>
        <v>148</v>
      </c>
      <c r="G26" s="6">
        <f>Consolidado!D17</f>
        <v>164</v>
      </c>
      <c r="H26" s="14">
        <f>Consolidado!F17</f>
        <v>0.47435897435897434</v>
      </c>
      <c r="I26" s="9">
        <f>Consolidado!G17</f>
        <v>0.52564102564102566</v>
      </c>
      <c r="J26" s="6">
        <f>Consolidado!H17</f>
        <v>9</v>
      </c>
      <c r="K26" s="6">
        <f>Consolidado!I17</f>
        <v>321</v>
      </c>
      <c r="L26" s="10">
        <f>Consolidado!E27</f>
        <v>12.333333333333334</v>
      </c>
      <c r="M26" s="11">
        <f>IFERROR(D26/Consolidado!I27-1,0)</f>
        <v>0.13395638629283479</v>
      </c>
    </row>
    <row r="27" spans="2:13" ht="19.5" customHeight="1" x14ac:dyDescent="0.25">
      <c r="B27" s="4"/>
      <c r="C27" s="15" t="s">
        <v>36</v>
      </c>
      <c r="D27" s="6">
        <f>INDEX('Totais Diários'!$C$20:$AG$20,1,Consolidado!$C$35)</f>
        <v>15</v>
      </c>
      <c r="E27" s="16">
        <f>INDEX('Totais Diários'!$C$30:$AG$30,1,Consolidado!$C$35)</f>
        <v>11</v>
      </c>
      <c r="F27" s="16">
        <f>Consolidado!C18</f>
        <v>250</v>
      </c>
      <c r="G27" s="6">
        <f>Consolidado!D18</f>
        <v>106</v>
      </c>
      <c r="H27" s="17">
        <f>Consolidado!F18</f>
        <v>0.702247191011236</v>
      </c>
      <c r="I27" s="9">
        <f>Consolidado!G18</f>
        <v>0.29775280898876405</v>
      </c>
      <c r="J27" s="6">
        <f>Consolidado!H18</f>
        <v>23</v>
      </c>
      <c r="K27" s="6">
        <f>Consolidado!I18</f>
        <v>379</v>
      </c>
      <c r="L27" s="10">
        <f>Consolidado!E28</f>
        <v>12.5</v>
      </c>
      <c r="M27" s="11">
        <f>IFERROR(D27/Consolidado!I28-1,0)</f>
        <v>6.8601583113456543E-2</v>
      </c>
    </row>
    <row r="28" spans="2:13" ht="19.5" customHeight="1" x14ac:dyDescent="0.25">
      <c r="B28" s="4"/>
      <c r="C28" s="18" t="s">
        <v>37</v>
      </c>
      <c r="D28" s="6">
        <f>INDEX('Totais Diários'!$C$21:$AG$21,1,Consolidado!$C$35)</f>
        <v>18</v>
      </c>
      <c r="E28" s="19">
        <f>INDEX('Totais Diários'!$C$31:$AG$31,1,Consolidado!$C$35)</f>
        <v>8</v>
      </c>
      <c r="F28" s="19">
        <f>Consolidado!C19</f>
        <v>278</v>
      </c>
      <c r="G28" s="6">
        <f>Consolidado!D19</f>
        <v>174</v>
      </c>
      <c r="H28" s="20">
        <f>Consolidado!F19</f>
        <v>0.61504424778761058</v>
      </c>
      <c r="I28" s="9">
        <f>Consolidado!G19</f>
        <v>0.38495575221238937</v>
      </c>
      <c r="J28" s="6">
        <f>Consolidado!H19</f>
        <v>22</v>
      </c>
      <c r="K28" s="6">
        <f>Consolidado!I19</f>
        <v>474</v>
      </c>
      <c r="L28" s="10">
        <f>Consolidado!E29</f>
        <v>10.692307692307692</v>
      </c>
      <c r="M28" s="11">
        <f>IFERROR(D28/Consolidado!I29-1,0)</f>
        <v>2.5316455696202445E-2</v>
      </c>
    </row>
    <row r="29" spans="2:13" ht="19.5" customHeight="1" x14ac:dyDescent="0.25">
      <c r="B29" s="4"/>
      <c r="C29" s="21" t="s">
        <v>38</v>
      </c>
      <c r="D29" s="6">
        <f>INDEX('Totais Diários'!$C$22:$AG$22,1,Consolidado!$C$35)</f>
        <v>20</v>
      </c>
      <c r="E29" s="22">
        <f>INDEX('Totais Diários'!$C$32:$AG$32,1,Consolidado!$C$35)</f>
        <v>4</v>
      </c>
      <c r="F29" s="22">
        <f>Consolidado!C20</f>
        <v>184</v>
      </c>
      <c r="G29" s="6">
        <f>Consolidado!D20</f>
        <v>171</v>
      </c>
      <c r="H29" s="23">
        <f>Consolidado!F20</f>
        <v>0.51830985915492955</v>
      </c>
      <c r="I29" s="9">
        <f>Consolidado!G20</f>
        <v>0.48169014084507045</v>
      </c>
      <c r="J29" s="6">
        <f>Consolidado!H20</f>
        <v>27</v>
      </c>
      <c r="K29" s="6">
        <f>Consolidado!I20</f>
        <v>382</v>
      </c>
      <c r="L29" s="10">
        <f>Consolidado!E30</f>
        <v>9.1999999999999993</v>
      </c>
      <c r="M29" s="11">
        <f>IFERROR(D29/Consolidado!I30-1,0)</f>
        <v>0.30890052356020958</v>
      </c>
    </row>
    <row r="30" spans="2:13" ht="19.5" customHeight="1" x14ac:dyDescent="0.25">
      <c r="B30" s="4"/>
      <c r="C30" s="24" t="s">
        <v>39</v>
      </c>
      <c r="D30" s="6">
        <f>INDEX('Totais Diários'!$C$23:$AG$23,1,Consolidado!$C$35)</f>
        <v>0</v>
      </c>
      <c r="E30" s="25">
        <f>INDEX('Totais Diários'!$C$33:$AG$33,1,Consolidado!$C$35)</f>
        <v>0</v>
      </c>
      <c r="F30" s="25">
        <f>Consolidado!C21</f>
        <v>39</v>
      </c>
      <c r="G30" s="6">
        <f>Consolidado!D21</f>
        <v>59</v>
      </c>
      <c r="H30" s="26">
        <f>Consolidado!F21</f>
        <v>0.39795918367346939</v>
      </c>
      <c r="I30" s="9">
        <f>Consolidado!G21</f>
        <v>0.60204081632653061</v>
      </c>
      <c r="J30" s="6">
        <f>Consolidado!H21</f>
        <v>0</v>
      </c>
      <c r="K30" s="6">
        <f>Consolidado!I21</f>
        <v>98</v>
      </c>
      <c r="L30" s="10">
        <f>Consolidado!E31</f>
        <v>13</v>
      </c>
      <c r="M30" s="11">
        <f>IFERROR(D30/Consolidado!I31-1,0)</f>
        <v>-1</v>
      </c>
    </row>
    <row r="31" spans="2:13" ht="18.75" customHeight="1" x14ac:dyDescent="0.25">
      <c r="B31" s="96" t="s">
        <v>40</v>
      </c>
      <c r="C31" s="96"/>
      <c r="D31" s="28">
        <f>INDEX('Totais Diários'!$C$11:$AG$11,1,Consolidado!$C$35)</f>
        <v>83</v>
      </c>
      <c r="E31" s="28">
        <f>INDEX('Totais Diários'!$C$34:$AG$34,1,Consolidado!$C$35)</f>
        <v>30</v>
      </c>
      <c r="F31" s="28">
        <f>Consolidado!C22</f>
        <v>1359</v>
      </c>
      <c r="G31" s="28">
        <f>Consolidado!D22</f>
        <v>875</v>
      </c>
      <c r="H31" s="29">
        <f>Consolidado!F22</f>
        <v>0.60832587287376905</v>
      </c>
      <c r="I31" s="29">
        <f>Consolidado!G22</f>
        <v>0.39167412712623095</v>
      </c>
      <c r="J31" s="28">
        <f>Consolidado!H22</f>
        <v>126</v>
      </c>
      <c r="K31" s="28">
        <f>Consolidado!I22</f>
        <v>2360</v>
      </c>
      <c r="L31" s="30">
        <f>Consolidado!E32</f>
        <v>10.6171875</v>
      </c>
      <c r="M31" s="31">
        <f>IFERROR(D31/Consolidado!I32-1,0)</f>
        <v>-5.0423728813559276E-2</v>
      </c>
    </row>
    <row r="32" spans="2:13" ht="7.5" customHeight="1" x14ac:dyDescent="0.25"/>
    <row r="33" spans="2:13" ht="19.5" customHeight="1" x14ac:dyDescent="0.25">
      <c r="B33" s="97" t="str">
        <f>"Destaque do dia: "&amp;INDEX($C$25:$C$30,MATCH(MAX($E$25:$E$30),$E$25:$E$30,0))&amp;" ("&amp;TEXT(MAX($E$25:$E$30),"#,##0")&amp;" próprios)"&amp;"    |    Melhor % próprio: "&amp;INDEX($C$25:$C$30,MATCH(MAX($H$25:$H$30),$H$25:$H$30,0))&amp;" ("&amp;TEXT(MAX($H$25:$H$30),"0.0%")&amp;")"&amp;"    |    Frota: "&amp;TEXT(Consolidado!C46,"0")&amp;" veículos"</f>
        <v>Destaque do dia: Stella d'Oro (11,0 próprios)    |    Melhor % próprio: Stella d'Oro (70%)    |    Frota: 128 veículos</v>
      </c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</row>
    <row r="34" spans="2:13" ht="12" customHeight="1" x14ac:dyDescent="0.25">
      <c r="B34" s="1" t="s">
        <v>41</v>
      </c>
    </row>
  </sheetData>
  <mergeCells count="21">
    <mergeCell ref="B23:M23"/>
    <mergeCell ref="B31:C31"/>
    <mergeCell ref="B33:M33"/>
    <mergeCell ref="B8:C8"/>
    <mergeCell ref="D8:F8"/>
    <mergeCell ref="G8:H8"/>
    <mergeCell ref="I8:J8"/>
    <mergeCell ref="K8:M8"/>
    <mergeCell ref="B7:C7"/>
    <mergeCell ref="D7:F7"/>
    <mergeCell ref="G7:H7"/>
    <mergeCell ref="I7:J7"/>
    <mergeCell ref="K7:M7"/>
    <mergeCell ref="D1:K1"/>
    <mergeCell ref="D2:K2"/>
    <mergeCell ref="B4:M4"/>
    <mergeCell ref="B6:C6"/>
    <mergeCell ref="D6:F6"/>
    <mergeCell ref="G6:H6"/>
    <mergeCell ref="I6:J6"/>
    <mergeCell ref="K6:M6"/>
  </mergeCells>
  <conditionalFormatting sqref="H25">
    <cfRule type="dataBar" priority="2">
      <dataBar>
        <cfvo type="num" val="0"/>
        <cfvo type="num" val="1"/>
        <color rgb="FFDE030F"/>
      </dataBar>
      <extLst>
        <ext xmlns:x14="http://schemas.microsoft.com/office/spreadsheetml/2009/9/main" uri="{B025F937-C7B1-47D3-B67F-A62EFF666E3E}">
          <x14:id>{861BB3CE-CB26-454E-A880-B92ED5129EC1}</x14:id>
        </ext>
      </extLst>
    </cfRule>
  </conditionalFormatting>
  <conditionalFormatting sqref="H26">
    <cfRule type="dataBar" priority="3">
      <dataBar>
        <cfvo type="num" val="0"/>
        <cfvo type="num" val="1"/>
        <color rgb="FF0B4626"/>
      </dataBar>
      <extLst>
        <ext xmlns:x14="http://schemas.microsoft.com/office/spreadsheetml/2009/9/main" uri="{B025F937-C7B1-47D3-B67F-A62EFF666E3E}">
          <x14:id>{FC10D3AD-C64D-49F3-A07C-F15A4A9F8DA3}</x14:id>
        </ext>
      </extLst>
    </cfRule>
  </conditionalFormatting>
  <conditionalFormatting sqref="H27">
    <cfRule type="dataBar" priority="4">
      <dataBar>
        <cfvo type="num" val="0"/>
        <cfvo type="num" val="1"/>
        <color rgb="FF0F472C"/>
      </dataBar>
      <extLst>
        <ext xmlns:x14="http://schemas.microsoft.com/office/spreadsheetml/2009/9/main" uri="{B025F937-C7B1-47D3-B67F-A62EFF666E3E}">
          <x14:id>{889C3033-4FEE-4A9D-AE42-6057548DCE50}</x14:id>
        </ext>
      </extLst>
    </cfRule>
  </conditionalFormatting>
  <conditionalFormatting sqref="H28">
    <cfRule type="dataBar" priority="5">
      <dataBar>
        <cfvo type="num" val="0"/>
        <cfvo type="num" val="1"/>
        <color rgb="FFDD040F"/>
      </dataBar>
      <extLst>
        <ext xmlns:x14="http://schemas.microsoft.com/office/spreadsheetml/2009/9/main" uri="{B025F937-C7B1-47D3-B67F-A62EFF666E3E}">
          <x14:id>{1AB0B27F-78B5-44FC-B9EC-EE97AE3D647D}</x14:id>
        </ext>
      </extLst>
    </cfRule>
  </conditionalFormatting>
  <conditionalFormatting sqref="H29">
    <cfRule type="dataBar" priority="6">
      <dataBar>
        <cfvo type="num" val="0"/>
        <cfvo type="num" val="1"/>
        <color rgb="FFDD0311"/>
      </dataBar>
      <extLst>
        <ext xmlns:x14="http://schemas.microsoft.com/office/spreadsheetml/2009/9/main" uri="{B025F937-C7B1-47D3-B67F-A62EFF666E3E}">
          <x14:id>{22F82CAD-B8B8-4146-BDF7-912C68B0EB00}</x14:id>
        </ext>
      </extLst>
    </cfRule>
  </conditionalFormatting>
  <conditionalFormatting sqref="H30">
    <cfRule type="dataBar" priority="7">
      <dataBar>
        <cfvo type="num" val="0"/>
        <cfvo type="num" val="1"/>
        <color rgb="FF10358E"/>
      </dataBar>
      <extLst>
        <ext xmlns:x14="http://schemas.microsoft.com/office/spreadsheetml/2009/9/main" uri="{B025F937-C7B1-47D3-B67F-A62EFF666E3E}">
          <x14:id>{6F5E8C81-C5D9-43E0-92CF-C430F5A47E88}</x14:id>
        </ext>
      </extLst>
    </cfRule>
  </conditionalFormatting>
  <conditionalFormatting sqref="M25:M30">
    <cfRule type="cellIs" dxfId="1" priority="8" operator="greaterThan">
      <formula>0</formula>
    </cfRule>
    <cfRule type="cellIs" dxfId="0" priority="9" operator="lessThan">
      <formula>0</formula>
    </cfRule>
  </conditionalFormatting>
  <printOptions horizontalCentered="1" verticalCentered="1"/>
  <pageMargins left="0.3" right="0.3" top="0.4" bottom="0.4" header="0.511811023622047" footer="0.511811023622047"/>
  <pageSetup paperSize="9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1BB3CE-CB26-454E-A880-B92ED5129EC1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E030F"/>
            </x14:dataBar>
          </x14:cfRule>
          <xm:sqref>H25</xm:sqref>
        </x14:conditionalFormatting>
        <x14:conditionalFormatting xmlns:xm="http://schemas.microsoft.com/office/excel/2006/main">
          <x14:cfRule type="dataBar" id="{FC10D3AD-C64D-49F3-A07C-F15A4A9F8DA3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0B4626"/>
            </x14:dataBar>
          </x14:cfRule>
          <xm:sqref>H26</xm:sqref>
        </x14:conditionalFormatting>
        <x14:conditionalFormatting xmlns:xm="http://schemas.microsoft.com/office/excel/2006/main">
          <x14:cfRule type="dataBar" id="{889C3033-4FEE-4A9D-AE42-6057548DCE5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0F472C"/>
            </x14:dataBar>
          </x14:cfRule>
          <xm:sqref>H27</xm:sqref>
        </x14:conditionalFormatting>
        <x14:conditionalFormatting xmlns:xm="http://schemas.microsoft.com/office/excel/2006/main">
          <x14:cfRule type="dataBar" id="{1AB0B27F-78B5-44FC-B9EC-EE97AE3D647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D040F"/>
            </x14:dataBar>
          </x14:cfRule>
          <xm:sqref>H28</xm:sqref>
        </x14:conditionalFormatting>
        <x14:conditionalFormatting xmlns:xm="http://schemas.microsoft.com/office/excel/2006/main">
          <x14:cfRule type="dataBar" id="{22F82CAD-B8B8-4146-BDF7-912C68B0EB0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D0311"/>
            </x14:dataBar>
          </x14:cfRule>
          <xm:sqref>H29</xm:sqref>
        </x14:conditionalFormatting>
        <x14:conditionalFormatting xmlns:xm="http://schemas.microsoft.com/office/excel/2006/main">
          <x14:cfRule type="dataBar" id="{6F5E8C81-C5D9-43E0-92CF-C430F5A47E88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0358E"/>
            </x14:dataBar>
          </x14:cfRule>
          <xm:sqref>H30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46"/>
  <sheetViews>
    <sheetView showGridLines="0" topLeftCell="A18" zoomScaleNormal="100" workbookViewId="0">
      <selection activeCell="G17" sqref="G17:G21"/>
    </sheetView>
  </sheetViews>
  <sheetFormatPr defaultColWidth="8.7109375" defaultRowHeight="15" x14ac:dyDescent="0.25"/>
  <cols>
    <col min="1" max="1" width="2" customWidth="1"/>
    <col min="2" max="2" width="24" customWidth="1"/>
    <col min="3" max="4" width="13.42578125" customWidth="1"/>
    <col min="5" max="5" width="16.42578125" customWidth="1"/>
    <col min="6" max="6" width="13" customWidth="1"/>
    <col min="7" max="7" width="10" customWidth="1"/>
    <col min="8" max="12" width="13.42578125" customWidth="1"/>
  </cols>
  <sheetData>
    <row r="1" spans="2:9" ht="30" customHeight="1" x14ac:dyDescent="0.25">
      <c r="B1" s="99" t="s">
        <v>42</v>
      </c>
      <c r="C1" s="99"/>
      <c r="D1" s="99"/>
      <c r="E1" s="99"/>
      <c r="F1" s="99"/>
      <c r="G1" s="99"/>
      <c r="H1" s="99"/>
      <c r="I1" s="99"/>
    </row>
    <row r="2" spans="2:9" ht="15.75" customHeight="1" x14ac:dyDescent="0.25">
      <c r="B2" s="100" t="s">
        <v>43</v>
      </c>
      <c r="C2" s="100"/>
      <c r="D2" s="100"/>
      <c r="E2" s="100"/>
      <c r="F2" s="100"/>
      <c r="G2" s="100"/>
      <c r="H2" s="100"/>
      <c r="I2" s="100"/>
    </row>
    <row r="4" spans="2:9" ht="19.5" customHeight="1" x14ac:dyDescent="0.25">
      <c r="B4" s="95" t="s">
        <v>44</v>
      </c>
      <c r="C4" s="95"/>
      <c r="D4" s="95"/>
      <c r="E4" s="95"/>
      <c r="F4" s="95"/>
      <c r="G4" s="95"/>
      <c r="H4" s="95"/>
      <c r="I4" s="95"/>
    </row>
    <row r="5" spans="2:9" ht="31.5" customHeight="1" x14ac:dyDescent="0.25">
      <c r="B5" s="32" t="s">
        <v>24</v>
      </c>
      <c r="C5" s="32" t="s">
        <v>45</v>
      </c>
      <c r="D5" s="32" t="s">
        <v>46</v>
      </c>
      <c r="E5" s="32" t="s">
        <v>47</v>
      </c>
      <c r="F5" s="32" t="s">
        <v>48</v>
      </c>
      <c r="G5" s="32" t="s">
        <v>49</v>
      </c>
      <c r="H5" s="32" t="s">
        <v>50</v>
      </c>
      <c r="I5" s="32" t="s">
        <v>51</v>
      </c>
    </row>
    <row r="6" spans="2:9" ht="18" customHeight="1" x14ac:dyDescent="0.25">
      <c r="B6" s="4" t="s">
        <v>34</v>
      </c>
      <c r="C6" s="33">
        <f>'Lançamento Diário'!AH7</f>
        <v>389</v>
      </c>
      <c r="D6" s="33">
        <f>'Lançamento Diário'!AH8</f>
        <v>71</v>
      </c>
      <c r="E6" s="33">
        <f>'Lançamento Diário'!AH9</f>
        <v>14</v>
      </c>
      <c r="F6" s="33">
        <f>'Lançamento Diário'!AH10</f>
        <v>187</v>
      </c>
      <c r="G6" s="33">
        <f>'Lançamento Diário'!AH11</f>
        <v>45</v>
      </c>
      <c r="H6" s="34">
        <f t="shared" ref="H6:H11" si="0">SUM(C6:G6)</f>
        <v>706</v>
      </c>
      <c r="I6" s="9">
        <f t="shared" ref="I6:I11" si="1">IFERROR(H6/$H$12,0)</f>
        <v>0.29915254237288136</v>
      </c>
    </row>
    <row r="7" spans="2:9" ht="18" customHeight="1" x14ac:dyDescent="0.25">
      <c r="B7" s="4" t="s">
        <v>35</v>
      </c>
      <c r="C7" s="35">
        <f>'Lançamento Diário'!AH15</f>
        <v>119</v>
      </c>
      <c r="D7" s="35">
        <f>'Lançamento Diário'!AH16</f>
        <v>29</v>
      </c>
      <c r="E7" s="35">
        <f>'Lançamento Diário'!AH17</f>
        <v>68</v>
      </c>
      <c r="F7" s="35">
        <f>'Lançamento Diário'!AH18</f>
        <v>96</v>
      </c>
      <c r="G7" s="35">
        <f>'Lançamento Diário'!AH19</f>
        <v>9</v>
      </c>
      <c r="H7" s="34">
        <f t="shared" si="0"/>
        <v>321</v>
      </c>
      <c r="I7" s="9">
        <f t="shared" si="1"/>
        <v>0.13601694915254237</v>
      </c>
    </row>
    <row r="8" spans="2:9" ht="18" customHeight="1" x14ac:dyDescent="0.25">
      <c r="B8" s="4" t="s">
        <v>36</v>
      </c>
      <c r="C8" s="33">
        <f>'Lançamento Diário'!AH23</f>
        <v>213</v>
      </c>
      <c r="D8" s="33">
        <f>'Lançamento Diário'!AH24</f>
        <v>37</v>
      </c>
      <c r="E8" s="33">
        <f>'Lançamento Diário'!AH25</f>
        <v>7</v>
      </c>
      <c r="F8" s="33">
        <f>'Lançamento Diário'!AH26</f>
        <v>99</v>
      </c>
      <c r="G8" s="33">
        <f>'Lançamento Diário'!AH27</f>
        <v>23</v>
      </c>
      <c r="H8" s="34">
        <f t="shared" si="0"/>
        <v>379</v>
      </c>
      <c r="I8" s="9">
        <f t="shared" si="1"/>
        <v>0.16059322033898304</v>
      </c>
    </row>
    <row r="9" spans="2:9" ht="18" customHeight="1" x14ac:dyDescent="0.25">
      <c r="B9" s="4" t="s">
        <v>37</v>
      </c>
      <c r="C9" s="35">
        <f>'Lançamento Diário'!AH31</f>
        <v>220</v>
      </c>
      <c r="D9" s="35">
        <f>'Lançamento Diário'!AH32</f>
        <v>58</v>
      </c>
      <c r="E9" s="35">
        <f>'Lançamento Diário'!AH33</f>
        <v>8</v>
      </c>
      <c r="F9" s="35">
        <f>'Lançamento Diário'!AH34</f>
        <v>166</v>
      </c>
      <c r="G9" s="35">
        <f>'Lançamento Diário'!AH35</f>
        <v>22</v>
      </c>
      <c r="H9" s="34">
        <f t="shared" si="0"/>
        <v>474</v>
      </c>
      <c r="I9" s="9">
        <f t="shared" si="1"/>
        <v>0.20084745762711864</v>
      </c>
    </row>
    <row r="10" spans="2:9" ht="18" customHeight="1" x14ac:dyDescent="0.25">
      <c r="B10" s="4" t="s">
        <v>38</v>
      </c>
      <c r="C10" s="33">
        <f>'Lançamento Diário'!AH39</f>
        <v>158</v>
      </c>
      <c r="D10" s="33">
        <f>'Lançamento Diário'!AH40</f>
        <v>26</v>
      </c>
      <c r="E10" s="33">
        <f>'Lançamento Diário'!AH41</f>
        <v>41</v>
      </c>
      <c r="F10" s="33">
        <f>'Lançamento Diário'!AH42</f>
        <v>130</v>
      </c>
      <c r="G10" s="33">
        <f>'Lançamento Diário'!AH43</f>
        <v>27</v>
      </c>
      <c r="H10" s="34">
        <f t="shared" si="0"/>
        <v>382</v>
      </c>
      <c r="I10" s="9">
        <f t="shared" si="1"/>
        <v>0.16186440677966102</v>
      </c>
    </row>
    <row r="11" spans="2:9" ht="18" customHeight="1" x14ac:dyDescent="0.25">
      <c r="B11" s="4" t="s">
        <v>39</v>
      </c>
      <c r="C11" s="35">
        <f>'Lançamento Diário'!AH47</f>
        <v>39</v>
      </c>
      <c r="D11" s="35">
        <f>'Lançamento Diário'!AH48</f>
        <v>0</v>
      </c>
      <c r="E11" s="35">
        <f>'Lançamento Diário'!AH49</f>
        <v>17</v>
      </c>
      <c r="F11" s="35">
        <f>'Lançamento Diário'!AH50</f>
        <v>42</v>
      </c>
      <c r="G11" s="35">
        <f>'Lançamento Diário'!AH51</f>
        <v>0</v>
      </c>
      <c r="H11" s="34">
        <f t="shared" si="0"/>
        <v>98</v>
      </c>
      <c r="I11" s="9">
        <f t="shared" si="1"/>
        <v>4.1525423728813557E-2</v>
      </c>
    </row>
    <row r="12" spans="2:9" x14ac:dyDescent="0.25">
      <c r="B12" s="27" t="s">
        <v>52</v>
      </c>
      <c r="C12" s="28">
        <f t="shared" ref="C12:H12" si="2">SUM(C6:C11)</f>
        <v>1138</v>
      </c>
      <c r="D12" s="28">
        <f t="shared" si="2"/>
        <v>221</v>
      </c>
      <c r="E12" s="28">
        <f t="shared" si="2"/>
        <v>155</v>
      </c>
      <c r="F12" s="28">
        <f t="shared" si="2"/>
        <v>720</v>
      </c>
      <c r="G12" s="28">
        <f t="shared" si="2"/>
        <v>126</v>
      </c>
      <c r="H12" s="28">
        <f t="shared" si="2"/>
        <v>2360</v>
      </c>
      <c r="I12" s="29">
        <f>IFERROR(H12/H12,0)</f>
        <v>1</v>
      </c>
    </row>
    <row r="14" spans="2:9" ht="19.5" customHeight="1" x14ac:dyDescent="0.25">
      <c r="B14" s="95" t="s">
        <v>53</v>
      </c>
      <c r="C14" s="95"/>
      <c r="D14" s="95"/>
      <c r="E14" s="95"/>
      <c r="F14" s="95"/>
      <c r="G14" s="95"/>
      <c r="H14" s="95"/>
      <c r="I14" s="95"/>
    </row>
    <row r="15" spans="2:9" ht="42" customHeight="1" x14ac:dyDescent="0.25">
      <c r="B15" s="32" t="s">
        <v>24</v>
      </c>
      <c r="C15" s="32" t="s">
        <v>54</v>
      </c>
      <c r="D15" s="32" t="s">
        <v>55</v>
      </c>
      <c r="E15" s="32" t="s">
        <v>56</v>
      </c>
      <c r="F15" s="32" t="s">
        <v>57</v>
      </c>
      <c r="G15" s="32" t="s">
        <v>29</v>
      </c>
      <c r="H15" s="32" t="s">
        <v>30</v>
      </c>
      <c r="I15" s="32" t="s">
        <v>31</v>
      </c>
    </row>
    <row r="16" spans="2:9" ht="18" customHeight="1" x14ac:dyDescent="0.25">
      <c r="B16" s="4" t="s">
        <v>34</v>
      </c>
      <c r="C16" s="16">
        <f t="shared" ref="C16:C21" si="3">C6+D6</f>
        <v>460</v>
      </c>
      <c r="D16" s="6">
        <f t="shared" ref="D16:D21" si="4">E6+F6</f>
        <v>201</v>
      </c>
      <c r="E16" s="6">
        <f t="shared" ref="E16:E21" si="5">C16+D16</f>
        <v>661</v>
      </c>
      <c r="F16" s="17">
        <f t="shared" ref="F16:G22" si="6">IFERROR(C16/$E16,0)</f>
        <v>0.69591527987897128</v>
      </c>
      <c r="G16" s="9">
        <f t="shared" si="6"/>
        <v>0.30408472012102872</v>
      </c>
      <c r="H16" s="6">
        <f t="shared" ref="H16:H21" si="7">G6</f>
        <v>45</v>
      </c>
      <c r="I16" s="6">
        <f t="shared" ref="I16:I21" si="8">E16+H16</f>
        <v>706</v>
      </c>
    </row>
    <row r="17" spans="2:9" ht="18" customHeight="1" x14ac:dyDescent="0.25">
      <c r="B17" s="4" t="s">
        <v>35</v>
      </c>
      <c r="C17" s="16">
        <f t="shared" si="3"/>
        <v>148</v>
      </c>
      <c r="D17" s="6">
        <f t="shared" si="4"/>
        <v>164</v>
      </c>
      <c r="E17" s="6">
        <f t="shared" si="5"/>
        <v>312</v>
      </c>
      <c r="F17" s="17">
        <f t="shared" si="6"/>
        <v>0.47435897435897434</v>
      </c>
      <c r="G17" s="9">
        <f t="shared" si="6"/>
        <v>0.52564102564102566</v>
      </c>
      <c r="H17" s="6">
        <f t="shared" si="7"/>
        <v>9</v>
      </c>
      <c r="I17" s="6">
        <f t="shared" si="8"/>
        <v>321</v>
      </c>
    </row>
    <row r="18" spans="2:9" ht="18" customHeight="1" x14ac:dyDescent="0.25">
      <c r="B18" s="4" t="s">
        <v>36</v>
      </c>
      <c r="C18" s="16">
        <f t="shared" si="3"/>
        <v>250</v>
      </c>
      <c r="D18" s="6">
        <f t="shared" si="4"/>
        <v>106</v>
      </c>
      <c r="E18" s="6">
        <f t="shared" si="5"/>
        <v>356</v>
      </c>
      <c r="F18" s="17">
        <f t="shared" si="6"/>
        <v>0.702247191011236</v>
      </c>
      <c r="G18" s="9">
        <f t="shared" si="6"/>
        <v>0.29775280898876405</v>
      </c>
      <c r="H18" s="6">
        <f t="shared" si="7"/>
        <v>23</v>
      </c>
      <c r="I18" s="6">
        <f t="shared" si="8"/>
        <v>379</v>
      </c>
    </row>
    <row r="19" spans="2:9" ht="18" customHeight="1" x14ac:dyDescent="0.25">
      <c r="B19" s="4" t="s">
        <v>37</v>
      </c>
      <c r="C19" s="16">
        <f t="shared" si="3"/>
        <v>278</v>
      </c>
      <c r="D19" s="6">
        <f t="shared" si="4"/>
        <v>174</v>
      </c>
      <c r="E19" s="6">
        <f t="shared" si="5"/>
        <v>452</v>
      </c>
      <c r="F19" s="17">
        <f t="shared" si="6"/>
        <v>0.61504424778761058</v>
      </c>
      <c r="G19" s="9">
        <f t="shared" si="6"/>
        <v>0.38495575221238937</v>
      </c>
      <c r="H19" s="6">
        <f t="shared" si="7"/>
        <v>22</v>
      </c>
      <c r="I19" s="6">
        <f t="shared" si="8"/>
        <v>474</v>
      </c>
    </row>
    <row r="20" spans="2:9" ht="18" customHeight="1" x14ac:dyDescent="0.25">
      <c r="B20" s="4" t="s">
        <v>38</v>
      </c>
      <c r="C20" s="16">
        <f t="shared" si="3"/>
        <v>184</v>
      </c>
      <c r="D20" s="6">
        <f t="shared" si="4"/>
        <v>171</v>
      </c>
      <c r="E20" s="6">
        <f t="shared" si="5"/>
        <v>355</v>
      </c>
      <c r="F20" s="17">
        <f t="shared" si="6"/>
        <v>0.51830985915492955</v>
      </c>
      <c r="G20" s="9">
        <f t="shared" si="6"/>
        <v>0.48169014084507045</v>
      </c>
      <c r="H20" s="6">
        <f t="shared" si="7"/>
        <v>27</v>
      </c>
      <c r="I20" s="6">
        <f t="shared" si="8"/>
        <v>382</v>
      </c>
    </row>
    <row r="21" spans="2:9" ht="18" customHeight="1" x14ac:dyDescent="0.25">
      <c r="B21" s="4" t="s">
        <v>39</v>
      </c>
      <c r="C21" s="16">
        <f t="shared" si="3"/>
        <v>39</v>
      </c>
      <c r="D21" s="6">
        <f t="shared" si="4"/>
        <v>59</v>
      </c>
      <c r="E21" s="6">
        <f t="shared" si="5"/>
        <v>98</v>
      </c>
      <c r="F21" s="17">
        <f t="shared" si="6"/>
        <v>0.39795918367346939</v>
      </c>
      <c r="G21" s="9">
        <f t="shared" si="6"/>
        <v>0.60204081632653061</v>
      </c>
      <c r="H21" s="6">
        <f t="shared" si="7"/>
        <v>0</v>
      </c>
      <c r="I21" s="6">
        <f t="shared" si="8"/>
        <v>98</v>
      </c>
    </row>
    <row r="22" spans="2:9" x14ac:dyDescent="0.25">
      <c r="B22" s="27" t="s">
        <v>52</v>
      </c>
      <c r="C22" s="28">
        <f>SUM(C16:C21)</f>
        <v>1359</v>
      </c>
      <c r="D22" s="28">
        <f>SUM(D16:D21)</f>
        <v>875</v>
      </c>
      <c r="E22" s="28">
        <f>SUM(E16:E21)</f>
        <v>2234</v>
      </c>
      <c r="F22" s="29">
        <f t="shared" si="6"/>
        <v>0.60832587287376905</v>
      </c>
      <c r="G22" s="29">
        <f t="shared" si="6"/>
        <v>0.39167412712623095</v>
      </c>
      <c r="H22" s="28">
        <f>SUM(H16:H21)</f>
        <v>126</v>
      </c>
      <c r="I22" s="28">
        <f>SUM(I16:I21)</f>
        <v>2360</v>
      </c>
    </row>
    <row r="24" spans="2:9" ht="19.5" customHeight="1" x14ac:dyDescent="0.25">
      <c r="B24" s="95" t="s">
        <v>58</v>
      </c>
      <c r="C24" s="95"/>
      <c r="D24" s="95"/>
      <c r="E24" s="95"/>
      <c r="F24" s="95"/>
      <c r="G24" s="95"/>
      <c r="H24" s="95"/>
      <c r="I24" s="95"/>
    </row>
    <row r="25" spans="2:9" ht="31.5" customHeight="1" x14ac:dyDescent="0.25">
      <c r="B25" s="32" t="s">
        <v>24</v>
      </c>
      <c r="C25" s="32" t="s">
        <v>59</v>
      </c>
      <c r="D25" s="32" t="s">
        <v>60</v>
      </c>
      <c r="E25" s="32" t="s">
        <v>61</v>
      </c>
      <c r="F25" s="32" t="s">
        <v>62</v>
      </c>
      <c r="G25" s="32" t="s">
        <v>63</v>
      </c>
      <c r="H25" s="32" t="s">
        <v>64</v>
      </c>
      <c r="I25" s="32" t="s">
        <v>65</v>
      </c>
    </row>
    <row r="26" spans="2:9" ht="18" customHeight="1" x14ac:dyDescent="0.25">
      <c r="B26" s="4" t="s">
        <v>34</v>
      </c>
      <c r="C26" s="36">
        <f>Frota!C6</f>
        <v>47</v>
      </c>
      <c r="D26" s="6">
        <f t="shared" ref="D26:D31" si="9">C16</f>
        <v>460</v>
      </c>
      <c r="E26" s="37">
        <f t="shared" ref="E26:E32" si="10">IFERROR(D26/C26,0)</f>
        <v>9.787234042553191</v>
      </c>
      <c r="F26" s="6">
        <f>COUNTIF('Lançamento Diário'!C12:AG12,"&gt;0")</f>
        <v>26</v>
      </c>
      <c r="G26" s="38">
        <f t="shared" ref="G26:G32" si="11">IFERROR(E26/F26,0)</f>
        <v>0.37643207855973809</v>
      </c>
      <c r="H26" s="6">
        <f t="shared" ref="H26:H31" si="12">H6</f>
        <v>706</v>
      </c>
      <c r="I26" s="10">
        <f t="shared" ref="I26:I32" si="13">IFERROR(H26/F26,0)</f>
        <v>27.153846153846153</v>
      </c>
    </row>
    <row r="27" spans="2:9" ht="18" customHeight="1" x14ac:dyDescent="0.25">
      <c r="B27" s="4" t="s">
        <v>35</v>
      </c>
      <c r="C27" s="36">
        <f>Frota!C7</f>
        <v>12</v>
      </c>
      <c r="D27" s="6">
        <f t="shared" si="9"/>
        <v>148</v>
      </c>
      <c r="E27" s="37">
        <f t="shared" si="10"/>
        <v>12.333333333333334</v>
      </c>
      <c r="F27" s="6">
        <f>COUNTIF('Lançamento Diário'!C20:AG20,"&gt;0")</f>
        <v>26</v>
      </c>
      <c r="G27" s="38">
        <f t="shared" si="11"/>
        <v>0.47435897435897439</v>
      </c>
      <c r="H27" s="6">
        <f t="shared" si="12"/>
        <v>321</v>
      </c>
      <c r="I27" s="10">
        <f t="shared" si="13"/>
        <v>12.346153846153847</v>
      </c>
    </row>
    <row r="28" spans="2:9" ht="18" customHeight="1" x14ac:dyDescent="0.25">
      <c r="B28" s="4" t="s">
        <v>36</v>
      </c>
      <c r="C28" s="36">
        <f>Frota!C8</f>
        <v>20</v>
      </c>
      <c r="D28" s="6">
        <f t="shared" si="9"/>
        <v>250</v>
      </c>
      <c r="E28" s="37">
        <f t="shared" si="10"/>
        <v>12.5</v>
      </c>
      <c r="F28" s="6">
        <f>COUNTIF('Lançamento Diário'!C28:AG28,"&gt;0")</f>
        <v>27</v>
      </c>
      <c r="G28" s="38">
        <f t="shared" si="11"/>
        <v>0.46296296296296297</v>
      </c>
      <c r="H28" s="6">
        <f t="shared" si="12"/>
        <v>379</v>
      </c>
      <c r="I28" s="10">
        <f t="shared" si="13"/>
        <v>14.037037037037036</v>
      </c>
    </row>
    <row r="29" spans="2:9" ht="18" customHeight="1" x14ac:dyDescent="0.25">
      <c r="B29" s="4" t="s">
        <v>37</v>
      </c>
      <c r="C29" s="36">
        <f>Frota!C9</f>
        <v>26</v>
      </c>
      <c r="D29" s="6">
        <f t="shared" si="9"/>
        <v>278</v>
      </c>
      <c r="E29" s="37">
        <f t="shared" si="10"/>
        <v>10.692307692307692</v>
      </c>
      <c r="F29" s="6">
        <f>COUNTIF('Lançamento Diário'!C36:AG36,"&gt;0")</f>
        <v>27</v>
      </c>
      <c r="G29" s="38">
        <f t="shared" si="11"/>
        <v>0.39601139601139601</v>
      </c>
      <c r="H29" s="6">
        <f t="shared" si="12"/>
        <v>474</v>
      </c>
      <c r="I29" s="10">
        <f t="shared" si="13"/>
        <v>17.555555555555557</v>
      </c>
    </row>
    <row r="30" spans="2:9" ht="18" customHeight="1" x14ac:dyDescent="0.25">
      <c r="B30" s="4" t="s">
        <v>38</v>
      </c>
      <c r="C30" s="36">
        <f>Frota!C10</f>
        <v>20</v>
      </c>
      <c r="D30" s="6">
        <f t="shared" si="9"/>
        <v>184</v>
      </c>
      <c r="E30" s="37">
        <f t="shared" si="10"/>
        <v>9.1999999999999993</v>
      </c>
      <c r="F30" s="6">
        <f>COUNTIF('Lançamento Diário'!C44:AG44,"&gt;0")</f>
        <v>25</v>
      </c>
      <c r="G30" s="38">
        <f t="shared" si="11"/>
        <v>0.36799999999999999</v>
      </c>
      <c r="H30" s="6">
        <f t="shared" si="12"/>
        <v>382</v>
      </c>
      <c r="I30" s="10">
        <f t="shared" si="13"/>
        <v>15.28</v>
      </c>
    </row>
    <row r="31" spans="2:9" ht="18" customHeight="1" x14ac:dyDescent="0.25">
      <c r="B31" s="4" t="s">
        <v>39</v>
      </c>
      <c r="C31" s="36">
        <f>Frota!C11</f>
        <v>3</v>
      </c>
      <c r="D31" s="6">
        <f t="shared" si="9"/>
        <v>39</v>
      </c>
      <c r="E31" s="37">
        <f t="shared" si="10"/>
        <v>13</v>
      </c>
      <c r="F31" s="6">
        <f>COUNTIF('Lançamento Diário'!C52:AG52,"&gt;0")</f>
        <v>24</v>
      </c>
      <c r="G31" s="38">
        <f t="shared" si="11"/>
        <v>0.54166666666666663</v>
      </c>
      <c r="H31" s="6">
        <f t="shared" si="12"/>
        <v>98</v>
      </c>
      <c r="I31" s="10">
        <f t="shared" si="13"/>
        <v>4.083333333333333</v>
      </c>
    </row>
    <row r="32" spans="2:9" x14ac:dyDescent="0.25">
      <c r="B32" s="27" t="s">
        <v>52</v>
      </c>
      <c r="C32" s="28">
        <f>SUM(C26:C31)</f>
        <v>128</v>
      </c>
      <c r="D32" s="28">
        <f>SUM(D26:D31)</f>
        <v>1359</v>
      </c>
      <c r="E32" s="30">
        <f t="shared" si="10"/>
        <v>10.6171875</v>
      </c>
      <c r="F32" s="28">
        <f>COUNTIF('Lançamento Diário'!C60:AG60,"&gt;0")</f>
        <v>27</v>
      </c>
      <c r="G32" s="39">
        <f t="shared" si="11"/>
        <v>0.39322916666666669</v>
      </c>
      <c r="H32" s="28">
        <f>SUM(H26:H31)</f>
        <v>2360</v>
      </c>
      <c r="I32" s="30">
        <f t="shared" si="13"/>
        <v>87.407407407407405</v>
      </c>
    </row>
    <row r="34" spans="2:9" ht="19.5" customHeight="1" x14ac:dyDescent="0.25">
      <c r="B34" s="95" t="s">
        <v>66</v>
      </c>
      <c r="C34" s="95"/>
      <c r="D34" s="95"/>
      <c r="E34" s="95"/>
      <c r="F34" s="95"/>
      <c r="G34" s="95"/>
      <c r="H34" s="95"/>
      <c r="I34" s="95"/>
    </row>
    <row r="35" spans="2:9" x14ac:dyDescent="0.25">
      <c r="B35" s="40" t="s">
        <v>67</v>
      </c>
      <c r="C35" s="41">
        <f>SUMPRODUCT(MAX(('Totais Diários'!C11:AG11&gt;0)*'Totais Diários'!C5:AG5))</f>
        <v>31</v>
      </c>
    </row>
    <row r="36" spans="2:9" x14ac:dyDescent="0.25">
      <c r="B36" s="40" t="s">
        <v>68</v>
      </c>
      <c r="C36" s="41">
        <f>COUNTIF('Totais Diários'!C11:AG11,"&gt;0")</f>
        <v>27</v>
      </c>
    </row>
    <row r="37" spans="2:9" x14ac:dyDescent="0.25">
      <c r="B37" s="40" t="s">
        <v>69</v>
      </c>
      <c r="C37" s="41">
        <f>H12</f>
        <v>2360</v>
      </c>
    </row>
    <row r="38" spans="2:9" x14ac:dyDescent="0.25">
      <c r="B38" s="40" t="s">
        <v>70</v>
      </c>
      <c r="C38" s="42">
        <f>IFERROR(C37/C36,0)</f>
        <v>87.407407407407405</v>
      </c>
    </row>
    <row r="39" spans="2:9" x14ac:dyDescent="0.25">
      <c r="B39" s="40" t="s">
        <v>71</v>
      </c>
      <c r="C39" s="41">
        <f>MAX('Totais Diários'!C11:AG11)</f>
        <v>117</v>
      </c>
    </row>
    <row r="40" spans="2:9" x14ac:dyDescent="0.25">
      <c r="B40" s="40" t="s">
        <v>72</v>
      </c>
      <c r="C40" s="43">
        <f>F22</f>
        <v>0.60832587287376905</v>
      </c>
    </row>
    <row r="41" spans="2:9" x14ac:dyDescent="0.25">
      <c r="B41" s="40" t="s">
        <v>73</v>
      </c>
      <c r="C41" s="43">
        <f>G22</f>
        <v>0.39167412712623095</v>
      </c>
    </row>
    <row r="42" spans="2:9" x14ac:dyDescent="0.25">
      <c r="B42" s="40" t="s">
        <v>74</v>
      </c>
      <c r="C42" s="41">
        <f>C22</f>
        <v>1359</v>
      </c>
    </row>
    <row r="43" spans="2:9" x14ac:dyDescent="0.25">
      <c r="B43" s="40" t="s">
        <v>75</v>
      </c>
      <c r="C43" s="41">
        <f>D22</f>
        <v>875</v>
      </c>
    </row>
    <row r="44" spans="2:9" x14ac:dyDescent="0.25">
      <c r="B44" s="40" t="s">
        <v>76</v>
      </c>
      <c r="C44" s="41">
        <f>H22</f>
        <v>126</v>
      </c>
    </row>
    <row r="45" spans="2:9" x14ac:dyDescent="0.25">
      <c r="B45" s="40" t="s">
        <v>77</v>
      </c>
      <c r="C45" s="42">
        <f>E32</f>
        <v>10.6171875</v>
      </c>
    </row>
    <row r="46" spans="2:9" x14ac:dyDescent="0.25">
      <c r="B46" s="40" t="s">
        <v>78</v>
      </c>
      <c r="C46" s="41">
        <f>C32</f>
        <v>128</v>
      </c>
    </row>
  </sheetData>
  <mergeCells count="6">
    <mergeCell ref="B34:I34"/>
    <mergeCell ref="B1:I1"/>
    <mergeCell ref="B2:I2"/>
    <mergeCell ref="B4:I4"/>
    <mergeCell ref="B14:I14"/>
    <mergeCell ref="B24:I24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G44"/>
  <sheetViews>
    <sheetView showGridLines="0" zoomScaleNormal="100" workbookViewId="0">
      <pane xSplit="2" ySplit="5" topLeftCell="C23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2" customWidth="1"/>
    <col min="2" max="2" width="26" customWidth="1"/>
    <col min="3" max="33" width="5.28515625" customWidth="1"/>
  </cols>
  <sheetData>
    <row r="1" spans="2:33" ht="30" customHeight="1" x14ac:dyDescent="0.25">
      <c r="B1" s="99" t="s">
        <v>79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ht="15.75" customHeight="1" x14ac:dyDescent="0.25">
      <c r="B2" s="100" t="s">
        <v>80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</row>
    <row r="4" spans="2:33" ht="19.5" customHeight="1" x14ac:dyDescent="0.25">
      <c r="B4" s="95" t="s">
        <v>81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</row>
    <row r="5" spans="2:33" x14ac:dyDescent="0.25">
      <c r="B5" s="44" t="s">
        <v>82</v>
      </c>
      <c r="C5" s="45">
        <v>1</v>
      </c>
      <c r="D5" s="45">
        <v>2</v>
      </c>
      <c r="E5" s="45">
        <v>3</v>
      </c>
      <c r="F5" s="45">
        <v>4</v>
      </c>
      <c r="G5" s="45">
        <v>5</v>
      </c>
      <c r="H5" s="45">
        <v>6</v>
      </c>
      <c r="I5" s="45">
        <v>7</v>
      </c>
      <c r="J5" s="45">
        <v>8</v>
      </c>
      <c r="K5" s="45">
        <v>9</v>
      </c>
      <c r="L5" s="45">
        <v>10</v>
      </c>
      <c r="M5" s="45">
        <v>11</v>
      </c>
      <c r="N5" s="45">
        <v>12</v>
      </c>
      <c r="O5" s="45">
        <v>13</v>
      </c>
      <c r="P5" s="45">
        <v>14</v>
      </c>
      <c r="Q5" s="45">
        <v>15</v>
      </c>
      <c r="R5" s="45">
        <v>16</v>
      </c>
      <c r="S5" s="45">
        <v>17</v>
      </c>
      <c r="T5" s="45">
        <v>18</v>
      </c>
      <c r="U5" s="45">
        <v>19</v>
      </c>
      <c r="V5" s="45">
        <v>20</v>
      </c>
      <c r="W5" s="45">
        <v>21</v>
      </c>
      <c r="X5" s="45">
        <v>22</v>
      </c>
      <c r="Y5" s="45">
        <v>23</v>
      </c>
      <c r="Z5" s="45">
        <v>24</v>
      </c>
      <c r="AA5" s="45">
        <v>25</v>
      </c>
      <c r="AB5" s="45">
        <v>26</v>
      </c>
      <c r="AC5" s="45">
        <v>27</v>
      </c>
      <c r="AD5" s="45">
        <v>28</v>
      </c>
      <c r="AE5" s="45">
        <v>29</v>
      </c>
      <c r="AF5" s="45">
        <v>30</v>
      </c>
      <c r="AG5" s="45">
        <v>31</v>
      </c>
    </row>
    <row r="6" spans="2:33" ht="15.75" customHeight="1" x14ac:dyDescent="0.25">
      <c r="B6" s="46" t="s">
        <v>45</v>
      </c>
      <c r="C6" s="47">
        <f>'Lançamento Diário'!C55</f>
        <v>40</v>
      </c>
      <c r="D6" s="47">
        <f>'Lançamento Diário'!D55</f>
        <v>17</v>
      </c>
      <c r="E6" s="47">
        <f>'Lançamento Diário'!E55</f>
        <v>25</v>
      </c>
      <c r="F6" s="47">
        <f>'Lançamento Diário'!F55</f>
        <v>46</v>
      </c>
      <c r="G6" s="47">
        <f>'Lançamento Diário'!G55</f>
        <v>50</v>
      </c>
      <c r="H6" s="47">
        <f>'Lançamento Diário'!H55</f>
        <v>44</v>
      </c>
      <c r="I6" s="47">
        <f>'Lançamento Diário'!I55</f>
        <v>46</v>
      </c>
      <c r="J6" s="47">
        <f>'Lançamento Diário'!J55</f>
        <v>46</v>
      </c>
      <c r="K6" s="47">
        <f>'Lançamento Diário'!K55</f>
        <v>0</v>
      </c>
      <c r="L6" s="47">
        <f>'Lançamento Diário'!L55</f>
        <v>23</v>
      </c>
      <c r="M6" s="47">
        <f>'Lançamento Diário'!M55</f>
        <v>56</v>
      </c>
      <c r="N6" s="47">
        <f>'Lançamento Diário'!N55</f>
        <v>50</v>
      </c>
      <c r="O6" s="47">
        <f>'Lançamento Diário'!O55</f>
        <v>54</v>
      </c>
      <c r="P6" s="47">
        <f>'Lançamento Diário'!P55</f>
        <v>49</v>
      </c>
      <c r="Q6" s="47">
        <f>'Lançamento Diário'!Q55</f>
        <v>34</v>
      </c>
      <c r="R6" s="47">
        <f>'Lançamento Diário'!R55</f>
        <v>0</v>
      </c>
      <c r="S6" s="47">
        <f>'Lançamento Diário'!S55</f>
        <v>25</v>
      </c>
      <c r="T6" s="47">
        <f>'Lançamento Diário'!T55</f>
        <v>45</v>
      </c>
      <c r="U6" s="47">
        <f>'Lançamento Diário'!U55</f>
        <v>52</v>
      </c>
      <c r="V6" s="47">
        <f>'Lançamento Diário'!V55</f>
        <v>52</v>
      </c>
      <c r="W6" s="47">
        <f>'Lançamento Diário'!W55</f>
        <v>46</v>
      </c>
      <c r="X6" s="47">
        <f>'Lançamento Diário'!X55</f>
        <v>44</v>
      </c>
      <c r="Y6" s="47">
        <f>'Lançamento Diário'!Y55</f>
        <v>0</v>
      </c>
      <c r="Z6" s="47">
        <f>'Lançamento Diário'!Z55</f>
        <v>28</v>
      </c>
      <c r="AA6" s="47">
        <f>'Lançamento Diário'!AA55</f>
        <v>46</v>
      </c>
      <c r="AB6" s="47">
        <f>'Lançamento Diário'!AB55</f>
        <v>52</v>
      </c>
      <c r="AC6" s="47">
        <f>'Lançamento Diário'!AC55</f>
        <v>46</v>
      </c>
      <c r="AD6" s="47">
        <f>'Lançamento Diário'!AD55</f>
        <v>44</v>
      </c>
      <c r="AE6" s="47">
        <f>'Lançamento Diário'!AE55</f>
        <v>53</v>
      </c>
      <c r="AF6" s="47">
        <f>'Lançamento Diário'!AF55</f>
        <v>0</v>
      </c>
      <c r="AG6" s="47">
        <f>'Lançamento Diário'!AG55</f>
        <v>25</v>
      </c>
    </row>
    <row r="7" spans="2:33" ht="15.75" customHeight="1" x14ac:dyDescent="0.25">
      <c r="B7" s="46" t="s">
        <v>46</v>
      </c>
      <c r="C7" s="47">
        <f>'Lançamento Diário'!C56</f>
        <v>8</v>
      </c>
      <c r="D7" s="47">
        <f>'Lançamento Diário'!D56</f>
        <v>7</v>
      </c>
      <c r="E7" s="47">
        <f>'Lançamento Diário'!E56</f>
        <v>4</v>
      </c>
      <c r="F7" s="47">
        <f>'Lançamento Diário'!F56</f>
        <v>13</v>
      </c>
      <c r="G7" s="47">
        <f>'Lançamento Diário'!G56</f>
        <v>12</v>
      </c>
      <c r="H7" s="47">
        <f>'Lançamento Diário'!H56</f>
        <v>13</v>
      </c>
      <c r="I7" s="47">
        <f>'Lançamento Diário'!I56</f>
        <v>12</v>
      </c>
      <c r="J7" s="47">
        <f>'Lançamento Diário'!J56</f>
        <v>5</v>
      </c>
      <c r="K7" s="47">
        <f>'Lançamento Diário'!K56</f>
        <v>0</v>
      </c>
      <c r="L7" s="47">
        <f>'Lançamento Diário'!L56</f>
        <v>3</v>
      </c>
      <c r="M7" s="47">
        <f>'Lançamento Diário'!M56</f>
        <v>12</v>
      </c>
      <c r="N7" s="47">
        <f>'Lançamento Diário'!N56</f>
        <v>9</v>
      </c>
      <c r="O7" s="47">
        <f>'Lançamento Diário'!O56</f>
        <v>11</v>
      </c>
      <c r="P7" s="47">
        <f>'Lançamento Diário'!P56</f>
        <v>9</v>
      </c>
      <c r="Q7" s="47">
        <f>'Lançamento Diário'!Q56</f>
        <v>9</v>
      </c>
      <c r="R7" s="47">
        <f>'Lançamento Diário'!R56</f>
        <v>0</v>
      </c>
      <c r="S7" s="47">
        <f>'Lançamento Diário'!S56</f>
        <v>6</v>
      </c>
      <c r="T7" s="47">
        <f>'Lançamento Diário'!T56</f>
        <v>11</v>
      </c>
      <c r="U7" s="47">
        <f>'Lançamento Diário'!U56</f>
        <v>7</v>
      </c>
      <c r="V7" s="47">
        <f>'Lançamento Diário'!V56</f>
        <v>5</v>
      </c>
      <c r="W7" s="47">
        <f>'Lançamento Diário'!W56</f>
        <v>4</v>
      </c>
      <c r="X7" s="47">
        <f>'Lançamento Diário'!X56</f>
        <v>11</v>
      </c>
      <c r="Y7" s="47">
        <f>'Lançamento Diário'!Y56</f>
        <v>0</v>
      </c>
      <c r="Z7" s="47">
        <f>'Lançamento Diário'!Z56</f>
        <v>3</v>
      </c>
      <c r="AA7" s="47">
        <f>'Lançamento Diário'!AA56</f>
        <v>10</v>
      </c>
      <c r="AB7" s="47">
        <f>'Lançamento Diário'!AB56</f>
        <v>9</v>
      </c>
      <c r="AC7" s="47">
        <f>'Lançamento Diário'!AC56</f>
        <v>7</v>
      </c>
      <c r="AD7" s="47">
        <f>'Lançamento Diário'!AD56</f>
        <v>7</v>
      </c>
      <c r="AE7" s="47">
        <f>'Lançamento Diário'!AE56</f>
        <v>9</v>
      </c>
      <c r="AF7" s="47">
        <f>'Lançamento Diário'!AF56</f>
        <v>0</v>
      </c>
      <c r="AG7" s="47">
        <f>'Lançamento Diário'!AG56</f>
        <v>5</v>
      </c>
    </row>
    <row r="8" spans="2:33" ht="15.75" customHeight="1" x14ac:dyDescent="0.25">
      <c r="B8" s="46" t="s">
        <v>47</v>
      </c>
      <c r="C8" s="47">
        <f>'Lançamento Diário'!C57</f>
        <v>4</v>
      </c>
      <c r="D8" s="47">
        <f>'Lançamento Diário'!D57</f>
        <v>1</v>
      </c>
      <c r="E8" s="47">
        <f>'Lançamento Diário'!E57</f>
        <v>11</v>
      </c>
      <c r="F8" s="47">
        <f>'Lançamento Diário'!F57</f>
        <v>10</v>
      </c>
      <c r="G8" s="47">
        <f>'Lançamento Diário'!G57</f>
        <v>7</v>
      </c>
      <c r="H8" s="47">
        <f>'Lançamento Diário'!H57</f>
        <v>6</v>
      </c>
      <c r="I8" s="47">
        <f>'Lançamento Diário'!I57</f>
        <v>8</v>
      </c>
      <c r="J8" s="47">
        <f>'Lançamento Diário'!J57</f>
        <v>4</v>
      </c>
      <c r="K8" s="47">
        <f>'Lançamento Diário'!K57</f>
        <v>0</v>
      </c>
      <c r="L8" s="47">
        <f>'Lançamento Diário'!L57</f>
        <v>5</v>
      </c>
      <c r="M8" s="47">
        <f>'Lançamento Diário'!M57</f>
        <v>8</v>
      </c>
      <c r="N8" s="47">
        <f>'Lançamento Diário'!N57</f>
        <v>7</v>
      </c>
      <c r="O8" s="47">
        <f>'Lançamento Diário'!O57</f>
        <v>4</v>
      </c>
      <c r="P8" s="47">
        <f>'Lançamento Diário'!P57</f>
        <v>5</v>
      </c>
      <c r="Q8" s="47">
        <f>'Lançamento Diário'!Q57</f>
        <v>1</v>
      </c>
      <c r="R8" s="47">
        <f>'Lançamento Diário'!R57</f>
        <v>0</v>
      </c>
      <c r="S8" s="47">
        <f>'Lançamento Diário'!S57</f>
        <v>5</v>
      </c>
      <c r="T8" s="47">
        <f>'Lançamento Diário'!T57</f>
        <v>7</v>
      </c>
      <c r="U8" s="47">
        <f>'Lançamento Diário'!U57</f>
        <v>7</v>
      </c>
      <c r="V8" s="47">
        <f>'Lançamento Diário'!V57</f>
        <v>5</v>
      </c>
      <c r="W8" s="47">
        <f>'Lançamento Diário'!W57</f>
        <v>4</v>
      </c>
      <c r="X8" s="47">
        <f>'Lançamento Diário'!X57</f>
        <v>2</v>
      </c>
      <c r="Y8" s="47">
        <f>'Lançamento Diário'!Y57</f>
        <v>0</v>
      </c>
      <c r="Z8" s="47">
        <f>'Lançamento Diário'!Z57</f>
        <v>8</v>
      </c>
      <c r="AA8" s="47">
        <f>'Lançamento Diário'!AA57</f>
        <v>8</v>
      </c>
      <c r="AB8" s="47">
        <f>'Lançamento Diário'!AB57</f>
        <v>6</v>
      </c>
      <c r="AC8" s="47">
        <f>'Lançamento Diário'!AC57</f>
        <v>7</v>
      </c>
      <c r="AD8" s="47">
        <f>'Lançamento Diário'!AD57</f>
        <v>6</v>
      </c>
      <c r="AE8" s="47">
        <f>'Lançamento Diário'!AE57</f>
        <v>1</v>
      </c>
      <c r="AF8" s="47">
        <f>'Lançamento Diário'!AF57</f>
        <v>0</v>
      </c>
      <c r="AG8" s="47">
        <f>'Lançamento Diário'!AG57</f>
        <v>8</v>
      </c>
    </row>
    <row r="9" spans="2:33" ht="15.75" customHeight="1" x14ac:dyDescent="0.25">
      <c r="B9" s="46" t="s">
        <v>48</v>
      </c>
      <c r="C9" s="47">
        <f>'Lançamento Diário'!C58</f>
        <v>11</v>
      </c>
      <c r="D9" s="47">
        <f>'Lançamento Diário'!D58</f>
        <v>2</v>
      </c>
      <c r="E9" s="47">
        <f>'Lançamento Diário'!E58</f>
        <v>40</v>
      </c>
      <c r="F9" s="47">
        <f>'Lançamento Diário'!F58</f>
        <v>41</v>
      </c>
      <c r="G9" s="47">
        <f>'Lançamento Diário'!G58</f>
        <v>45</v>
      </c>
      <c r="H9" s="47">
        <f>'Lançamento Diário'!H58</f>
        <v>42</v>
      </c>
      <c r="I9" s="47">
        <f>'Lançamento Diário'!I58</f>
        <v>48</v>
      </c>
      <c r="J9" s="47">
        <f>'Lançamento Diário'!J58</f>
        <v>26</v>
      </c>
      <c r="K9" s="47">
        <f>'Lançamento Diário'!K58</f>
        <v>0</v>
      </c>
      <c r="L9" s="47">
        <f>'Lançamento Diário'!L58</f>
        <v>17</v>
      </c>
      <c r="M9" s="47">
        <f>'Lançamento Diário'!M58</f>
        <v>25</v>
      </c>
      <c r="N9" s="47">
        <f>'Lançamento Diário'!N58</f>
        <v>32</v>
      </c>
      <c r="O9" s="47">
        <f>'Lançamento Diário'!O58</f>
        <v>17</v>
      </c>
      <c r="P9" s="47">
        <f>'Lançamento Diário'!P58</f>
        <v>30</v>
      </c>
      <c r="Q9" s="47">
        <f>'Lançamento Diário'!Q58</f>
        <v>13</v>
      </c>
      <c r="R9" s="47">
        <f>'Lançamento Diário'!R58</f>
        <v>0</v>
      </c>
      <c r="S9" s="47">
        <f>'Lançamento Diário'!S58</f>
        <v>29</v>
      </c>
      <c r="T9" s="47">
        <f>'Lançamento Diário'!T58</f>
        <v>36</v>
      </c>
      <c r="U9" s="47">
        <f>'Lançamento Diário'!U58</f>
        <v>23</v>
      </c>
      <c r="V9" s="47">
        <f>'Lançamento Diário'!V58</f>
        <v>16</v>
      </c>
      <c r="W9" s="47">
        <f>'Lançamento Diário'!W58</f>
        <v>29</v>
      </c>
      <c r="X9" s="47">
        <f>'Lançamento Diário'!X58</f>
        <v>19</v>
      </c>
      <c r="Y9" s="47">
        <f>'Lançamento Diário'!Y58</f>
        <v>0</v>
      </c>
      <c r="Z9" s="47">
        <f>'Lançamento Diário'!Z58</f>
        <v>40</v>
      </c>
      <c r="AA9" s="47">
        <f>'Lançamento Diário'!AA58</f>
        <v>33</v>
      </c>
      <c r="AB9" s="47">
        <f>'Lançamento Diário'!AB58</f>
        <v>21</v>
      </c>
      <c r="AC9" s="47">
        <f>'Lançamento Diário'!AC58</f>
        <v>16</v>
      </c>
      <c r="AD9" s="47">
        <f>'Lançamento Diário'!AD58</f>
        <v>19</v>
      </c>
      <c r="AE9" s="47">
        <f>'Lançamento Diário'!AE58</f>
        <v>15</v>
      </c>
      <c r="AF9" s="47">
        <f>'Lançamento Diário'!AF58</f>
        <v>0</v>
      </c>
      <c r="AG9" s="47">
        <f>'Lançamento Diário'!AG58</f>
        <v>35</v>
      </c>
    </row>
    <row r="10" spans="2:33" ht="15.75" customHeight="1" x14ac:dyDescent="0.25">
      <c r="B10" s="46" t="s">
        <v>49</v>
      </c>
      <c r="C10" s="47">
        <f>'Lançamento Diário'!C59</f>
        <v>12</v>
      </c>
      <c r="D10" s="47">
        <f>'Lançamento Diário'!D59</f>
        <v>1</v>
      </c>
      <c r="E10" s="47">
        <f>'Lançamento Diário'!E59</f>
        <v>7</v>
      </c>
      <c r="F10" s="47">
        <f>'Lançamento Diário'!F59</f>
        <v>2</v>
      </c>
      <c r="G10" s="47">
        <f>'Lançamento Diário'!G59</f>
        <v>2</v>
      </c>
      <c r="H10" s="47">
        <f>'Lançamento Diário'!H59</f>
        <v>7</v>
      </c>
      <c r="I10" s="47">
        <f>'Lançamento Diário'!I59</f>
        <v>3</v>
      </c>
      <c r="J10" s="47">
        <f>'Lançamento Diário'!J59</f>
        <v>1</v>
      </c>
      <c r="K10" s="47">
        <f>'Lançamento Diário'!K59</f>
        <v>0</v>
      </c>
      <c r="L10" s="47">
        <f>'Lançamento Diário'!L59</f>
        <v>2</v>
      </c>
      <c r="M10" s="47">
        <f>'Lançamento Diário'!M59</f>
        <v>4</v>
      </c>
      <c r="N10" s="47">
        <f>'Lançamento Diário'!N59</f>
        <v>5</v>
      </c>
      <c r="O10" s="47">
        <f>'Lançamento Diário'!O59</f>
        <v>5</v>
      </c>
      <c r="P10" s="47">
        <f>'Lançamento Diário'!P59</f>
        <v>3</v>
      </c>
      <c r="Q10" s="47">
        <f>'Lançamento Diário'!Q59</f>
        <v>0</v>
      </c>
      <c r="R10" s="47">
        <f>'Lançamento Diário'!R59</f>
        <v>0</v>
      </c>
      <c r="S10" s="47">
        <f>'Lançamento Diário'!S59</f>
        <v>4</v>
      </c>
      <c r="T10" s="47">
        <f>'Lançamento Diário'!T59</f>
        <v>5</v>
      </c>
      <c r="U10" s="47">
        <f>'Lançamento Diário'!U59</f>
        <v>8</v>
      </c>
      <c r="V10" s="47">
        <f>'Lançamento Diário'!V59</f>
        <v>8</v>
      </c>
      <c r="W10" s="47">
        <f>'Lançamento Diário'!W59</f>
        <v>3</v>
      </c>
      <c r="X10" s="47">
        <f>'Lançamento Diário'!X59</f>
        <v>0</v>
      </c>
      <c r="Y10" s="47">
        <f>'Lançamento Diário'!Y59</f>
        <v>0</v>
      </c>
      <c r="Z10" s="47">
        <f>'Lançamento Diário'!Z59</f>
        <v>8</v>
      </c>
      <c r="AA10" s="47">
        <f>'Lançamento Diário'!AA59</f>
        <v>7</v>
      </c>
      <c r="AB10" s="47">
        <f>'Lançamento Diário'!AB59</f>
        <v>4</v>
      </c>
      <c r="AC10" s="47">
        <f>'Lançamento Diário'!AC59</f>
        <v>6</v>
      </c>
      <c r="AD10" s="47">
        <f>'Lançamento Diário'!AD59</f>
        <v>7</v>
      </c>
      <c r="AE10" s="47">
        <f>'Lançamento Diário'!AE59</f>
        <v>2</v>
      </c>
      <c r="AF10" s="47">
        <f>'Lançamento Diário'!AF59</f>
        <v>0</v>
      </c>
      <c r="AG10" s="47">
        <f>'Lançamento Diário'!AG59</f>
        <v>10</v>
      </c>
    </row>
    <row r="11" spans="2:33" ht="15.75" customHeight="1" x14ac:dyDescent="0.25">
      <c r="B11" s="48" t="s">
        <v>83</v>
      </c>
      <c r="C11" s="49">
        <f t="shared" ref="C11:AG11" si="0">SUM(C6:C10)</f>
        <v>75</v>
      </c>
      <c r="D11" s="49">
        <f t="shared" si="0"/>
        <v>28</v>
      </c>
      <c r="E11" s="49">
        <f t="shared" si="0"/>
        <v>87</v>
      </c>
      <c r="F11" s="49">
        <f t="shared" si="0"/>
        <v>112</v>
      </c>
      <c r="G11" s="49">
        <f t="shared" si="0"/>
        <v>116</v>
      </c>
      <c r="H11" s="49">
        <f t="shared" si="0"/>
        <v>112</v>
      </c>
      <c r="I11" s="49">
        <f t="shared" si="0"/>
        <v>117</v>
      </c>
      <c r="J11" s="49">
        <f t="shared" si="0"/>
        <v>82</v>
      </c>
      <c r="K11" s="49">
        <f t="shared" si="0"/>
        <v>0</v>
      </c>
      <c r="L11" s="49">
        <f t="shared" si="0"/>
        <v>50</v>
      </c>
      <c r="M11" s="49">
        <f t="shared" si="0"/>
        <v>105</v>
      </c>
      <c r="N11" s="49">
        <f t="shared" si="0"/>
        <v>103</v>
      </c>
      <c r="O11" s="49">
        <f t="shared" si="0"/>
        <v>91</v>
      </c>
      <c r="P11" s="49">
        <f t="shared" si="0"/>
        <v>96</v>
      </c>
      <c r="Q11" s="49">
        <f t="shared" si="0"/>
        <v>57</v>
      </c>
      <c r="R11" s="49">
        <f t="shared" si="0"/>
        <v>0</v>
      </c>
      <c r="S11" s="49">
        <f t="shared" si="0"/>
        <v>69</v>
      </c>
      <c r="T11" s="49">
        <f t="shared" si="0"/>
        <v>104</v>
      </c>
      <c r="U11" s="49">
        <f t="shared" si="0"/>
        <v>97</v>
      </c>
      <c r="V11" s="49">
        <f t="shared" si="0"/>
        <v>86</v>
      </c>
      <c r="W11" s="49">
        <f t="shared" si="0"/>
        <v>86</v>
      </c>
      <c r="X11" s="49">
        <f t="shared" si="0"/>
        <v>76</v>
      </c>
      <c r="Y11" s="49">
        <f t="shared" si="0"/>
        <v>0</v>
      </c>
      <c r="Z11" s="49">
        <f t="shared" si="0"/>
        <v>87</v>
      </c>
      <c r="AA11" s="49">
        <f t="shared" si="0"/>
        <v>104</v>
      </c>
      <c r="AB11" s="49">
        <f t="shared" si="0"/>
        <v>92</v>
      </c>
      <c r="AC11" s="49">
        <f t="shared" si="0"/>
        <v>82</v>
      </c>
      <c r="AD11" s="49">
        <f t="shared" si="0"/>
        <v>83</v>
      </c>
      <c r="AE11" s="49">
        <f t="shared" si="0"/>
        <v>80</v>
      </c>
      <c r="AF11" s="49">
        <f t="shared" si="0"/>
        <v>0</v>
      </c>
      <c r="AG11" s="49">
        <f t="shared" si="0"/>
        <v>83</v>
      </c>
    </row>
    <row r="12" spans="2:33" ht="15.75" customHeight="1" x14ac:dyDescent="0.25">
      <c r="B12" s="48" t="s">
        <v>84</v>
      </c>
      <c r="C12" s="47">
        <f t="shared" ref="C12:AG12" si="1">C6+C7</f>
        <v>48</v>
      </c>
      <c r="D12" s="47">
        <f t="shared" si="1"/>
        <v>24</v>
      </c>
      <c r="E12" s="47">
        <f t="shared" si="1"/>
        <v>29</v>
      </c>
      <c r="F12" s="47">
        <f t="shared" si="1"/>
        <v>59</v>
      </c>
      <c r="G12" s="47">
        <f t="shared" si="1"/>
        <v>62</v>
      </c>
      <c r="H12" s="47">
        <f t="shared" si="1"/>
        <v>57</v>
      </c>
      <c r="I12" s="47">
        <f t="shared" si="1"/>
        <v>58</v>
      </c>
      <c r="J12" s="47">
        <f t="shared" si="1"/>
        <v>51</v>
      </c>
      <c r="K12" s="47">
        <f t="shared" si="1"/>
        <v>0</v>
      </c>
      <c r="L12" s="47">
        <f t="shared" si="1"/>
        <v>26</v>
      </c>
      <c r="M12" s="47">
        <f t="shared" si="1"/>
        <v>68</v>
      </c>
      <c r="N12" s="47">
        <f t="shared" si="1"/>
        <v>59</v>
      </c>
      <c r="O12" s="47">
        <f t="shared" si="1"/>
        <v>65</v>
      </c>
      <c r="P12" s="47">
        <f t="shared" si="1"/>
        <v>58</v>
      </c>
      <c r="Q12" s="47">
        <f t="shared" si="1"/>
        <v>43</v>
      </c>
      <c r="R12" s="47">
        <f t="shared" si="1"/>
        <v>0</v>
      </c>
      <c r="S12" s="47">
        <f t="shared" si="1"/>
        <v>31</v>
      </c>
      <c r="T12" s="47">
        <f t="shared" si="1"/>
        <v>56</v>
      </c>
      <c r="U12" s="47">
        <f t="shared" si="1"/>
        <v>59</v>
      </c>
      <c r="V12" s="47">
        <f t="shared" si="1"/>
        <v>57</v>
      </c>
      <c r="W12" s="47">
        <f t="shared" si="1"/>
        <v>50</v>
      </c>
      <c r="X12" s="47">
        <f t="shared" si="1"/>
        <v>55</v>
      </c>
      <c r="Y12" s="47">
        <f t="shared" si="1"/>
        <v>0</v>
      </c>
      <c r="Z12" s="47">
        <f t="shared" si="1"/>
        <v>31</v>
      </c>
      <c r="AA12" s="47">
        <f t="shared" si="1"/>
        <v>56</v>
      </c>
      <c r="AB12" s="47">
        <f t="shared" si="1"/>
        <v>61</v>
      </c>
      <c r="AC12" s="47">
        <f t="shared" si="1"/>
        <v>53</v>
      </c>
      <c r="AD12" s="47">
        <f t="shared" si="1"/>
        <v>51</v>
      </c>
      <c r="AE12" s="47">
        <f t="shared" si="1"/>
        <v>62</v>
      </c>
      <c r="AF12" s="47">
        <f t="shared" si="1"/>
        <v>0</v>
      </c>
      <c r="AG12" s="47">
        <f t="shared" si="1"/>
        <v>30</v>
      </c>
    </row>
    <row r="13" spans="2:33" ht="15.75" customHeight="1" x14ac:dyDescent="0.25">
      <c r="B13" s="48" t="s">
        <v>85</v>
      </c>
      <c r="C13" s="47">
        <f t="shared" ref="C13:AG13" si="2">C8+C9</f>
        <v>15</v>
      </c>
      <c r="D13" s="47">
        <f t="shared" si="2"/>
        <v>3</v>
      </c>
      <c r="E13" s="47">
        <f t="shared" si="2"/>
        <v>51</v>
      </c>
      <c r="F13" s="47">
        <f t="shared" si="2"/>
        <v>51</v>
      </c>
      <c r="G13" s="47">
        <f t="shared" si="2"/>
        <v>52</v>
      </c>
      <c r="H13" s="47">
        <f t="shared" si="2"/>
        <v>48</v>
      </c>
      <c r="I13" s="47">
        <f t="shared" si="2"/>
        <v>56</v>
      </c>
      <c r="J13" s="47">
        <f t="shared" si="2"/>
        <v>30</v>
      </c>
      <c r="K13" s="47">
        <f t="shared" si="2"/>
        <v>0</v>
      </c>
      <c r="L13" s="47">
        <f t="shared" si="2"/>
        <v>22</v>
      </c>
      <c r="M13" s="47">
        <f t="shared" si="2"/>
        <v>33</v>
      </c>
      <c r="N13" s="47">
        <f t="shared" si="2"/>
        <v>39</v>
      </c>
      <c r="O13" s="47">
        <f t="shared" si="2"/>
        <v>21</v>
      </c>
      <c r="P13" s="47">
        <f t="shared" si="2"/>
        <v>35</v>
      </c>
      <c r="Q13" s="47">
        <f t="shared" si="2"/>
        <v>14</v>
      </c>
      <c r="R13" s="47">
        <f t="shared" si="2"/>
        <v>0</v>
      </c>
      <c r="S13" s="47">
        <f t="shared" si="2"/>
        <v>34</v>
      </c>
      <c r="T13" s="47">
        <f t="shared" si="2"/>
        <v>43</v>
      </c>
      <c r="U13" s="47">
        <f t="shared" si="2"/>
        <v>30</v>
      </c>
      <c r="V13" s="47">
        <f t="shared" si="2"/>
        <v>21</v>
      </c>
      <c r="W13" s="47">
        <f t="shared" si="2"/>
        <v>33</v>
      </c>
      <c r="X13" s="47">
        <f t="shared" si="2"/>
        <v>21</v>
      </c>
      <c r="Y13" s="47">
        <f t="shared" si="2"/>
        <v>0</v>
      </c>
      <c r="Z13" s="47">
        <f t="shared" si="2"/>
        <v>48</v>
      </c>
      <c r="AA13" s="47">
        <f t="shared" si="2"/>
        <v>41</v>
      </c>
      <c r="AB13" s="47">
        <f t="shared" si="2"/>
        <v>27</v>
      </c>
      <c r="AC13" s="47">
        <f t="shared" si="2"/>
        <v>23</v>
      </c>
      <c r="AD13" s="47">
        <f t="shared" si="2"/>
        <v>25</v>
      </c>
      <c r="AE13" s="47">
        <f t="shared" si="2"/>
        <v>16</v>
      </c>
      <c r="AF13" s="47">
        <f t="shared" si="2"/>
        <v>0</v>
      </c>
      <c r="AG13" s="47">
        <f t="shared" si="2"/>
        <v>43</v>
      </c>
    </row>
    <row r="16" spans="2:33" ht="19.5" customHeight="1" x14ac:dyDescent="0.25">
      <c r="B16" s="95" t="s">
        <v>86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</row>
    <row r="17" spans="2:33" x14ac:dyDescent="0.25">
      <c r="B17" s="44" t="s">
        <v>24</v>
      </c>
      <c r="C17" s="45">
        <v>1</v>
      </c>
      <c r="D17" s="45">
        <v>2</v>
      </c>
      <c r="E17" s="45">
        <v>3</v>
      </c>
      <c r="F17" s="45">
        <v>4</v>
      </c>
      <c r="G17" s="45">
        <v>5</v>
      </c>
      <c r="H17" s="45">
        <v>6</v>
      </c>
      <c r="I17" s="45">
        <v>7</v>
      </c>
      <c r="J17" s="45">
        <v>8</v>
      </c>
      <c r="K17" s="45">
        <v>9</v>
      </c>
      <c r="L17" s="45">
        <v>10</v>
      </c>
      <c r="M17" s="45">
        <v>11</v>
      </c>
      <c r="N17" s="45">
        <v>12</v>
      </c>
      <c r="O17" s="45">
        <v>13</v>
      </c>
      <c r="P17" s="45">
        <v>14</v>
      </c>
      <c r="Q17" s="45">
        <v>15</v>
      </c>
      <c r="R17" s="45">
        <v>16</v>
      </c>
      <c r="S17" s="45">
        <v>17</v>
      </c>
      <c r="T17" s="45">
        <v>18</v>
      </c>
      <c r="U17" s="45">
        <v>19</v>
      </c>
      <c r="V17" s="45">
        <v>20</v>
      </c>
      <c r="W17" s="45">
        <v>21</v>
      </c>
      <c r="X17" s="45">
        <v>22</v>
      </c>
      <c r="Y17" s="45">
        <v>23</v>
      </c>
      <c r="Z17" s="45">
        <v>24</v>
      </c>
      <c r="AA17" s="45">
        <v>25</v>
      </c>
      <c r="AB17" s="45">
        <v>26</v>
      </c>
      <c r="AC17" s="45">
        <v>27</v>
      </c>
      <c r="AD17" s="45">
        <v>28</v>
      </c>
      <c r="AE17" s="45">
        <v>29</v>
      </c>
      <c r="AF17" s="45">
        <v>30</v>
      </c>
      <c r="AG17" s="45">
        <v>31</v>
      </c>
    </row>
    <row r="18" spans="2:33" ht="15.75" customHeight="1" x14ac:dyDescent="0.25">
      <c r="B18" s="48" t="s">
        <v>34</v>
      </c>
      <c r="C18" s="47">
        <f>'Lançamento Diário'!C12</f>
        <v>24</v>
      </c>
      <c r="D18" s="47">
        <f>'Lançamento Diário'!D12</f>
        <v>13</v>
      </c>
      <c r="E18" s="47">
        <f>'Lançamento Diário'!E12</f>
        <v>24</v>
      </c>
      <c r="F18" s="47">
        <f>'Lançamento Diário'!F12</f>
        <v>38</v>
      </c>
      <c r="G18" s="47">
        <f>'Lançamento Diário'!G12</f>
        <v>38</v>
      </c>
      <c r="H18" s="47">
        <f>'Lançamento Diário'!H12</f>
        <v>36</v>
      </c>
      <c r="I18" s="47">
        <f>'Lançamento Diário'!I12</f>
        <v>32</v>
      </c>
      <c r="J18" s="47">
        <f>'Lançamento Diário'!J12</f>
        <v>34</v>
      </c>
      <c r="K18" s="47">
        <f>'Lançamento Diário'!K12</f>
        <v>0</v>
      </c>
      <c r="L18" s="47">
        <f>'Lançamento Diário'!L12</f>
        <v>0</v>
      </c>
      <c r="M18" s="47">
        <f>'Lançamento Diário'!M12</f>
        <v>34</v>
      </c>
      <c r="N18" s="47">
        <f>'Lançamento Diário'!N12</f>
        <v>29</v>
      </c>
      <c r="O18" s="47">
        <f>'Lançamento Diário'!O12</f>
        <v>28</v>
      </c>
      <c r="P18" s="47">
        <f>'Lançamento Diário'!P12</f>
        <v>30</v>
      </c>
      <c r="Q18" s="47">
        <f>'Lançamento Diário'!Q12</f>
        <v>18</v>
      </c>
      <c r="R18" s="47">
        <f>'Lançamento Diário'!R12</f>
        <v>0</v>
      </c>
      <c r="S18" s="47">
        <f>'Lançamento Diário'!S12</f>
        <v>19</v>
      </c>
      <c r="T18" s="47">
        <f>'Lançamento Diário'!T12</f>
        <v>28</v>
      </c>
      <c r="U18" s="47">
        <f>'Lançamento Diário'!U12</f>
        <v>28</v>
      </c>
      <c r="V18" s="47">
        <f>'Lançamento Diário'!V12</f>
        <v>24</v>
      </c>
      <c r="W18" s="47">
        <f>'Lançamento Diário'!W12</f>
        <v>28</v>
      </c>
      <c r="X18" s="47">
        <f>'Lançamento Diário'!X12</f>
        <v>28</v>
      </c>
      <c r="Y18" s="47">
        <f>'Lançamento Diário'!Y12</f>
        <v>0</v>
      </c>
      <c r="Z18" s="47">
        <f>'Lançamento Diário'!Z12</f>
        <v>29</v>
      </c>
      <c r="AA18" s="47">
        <f>'Lançamento Diário'!AA12</f>
        <v>29</v>
      </c>
      <c r="AB18" s="47">
        <f>'Lançamento Diário'!AB12</f>
        <v>28</v>
      </c>
      <c r="AC18" s="47">
        <f>'Lançamento Diário'!AC12</f>
        <v>23</v>
      </c>
      <c r="AD18" s="47">
        <f>'Lançamento Diário'!AD12</f>
        <v>25</v>
      </c>
      <c r="AE18" s="47">
        <f>'Lançamento Diário'!AE12</f>
        <v>23</v>
      </c>
      <c r="AF18" s="47">
        <f>'Lançamento Diário'!AF12</f>
        <v>0</v>
      </c>
      <c r="AG18" s="47">
        <f>'Lançamento Diário'!AG12</f>
        <v>16</v>
      </c>
    </row>
    <row r="19" spans="2:33" ht="15.75" customHeight="1" x14ac:dyDescent="0.25">
      <c r="B19" s="48" t="s">
        <v>35</v>
      </c>
      <c r="C19" s="47">
        <f>'Lançamento Diário'!C20</f>
        <v>7</v>
      </c>
      <c r="D19" s="47">
        <f>'Lançamento Diário'!D20</f>
        <v>0</v>
      </c>
      <c r="E19" s="47">
        <f>'Lançamento Diário'!E20</f>
        <v>16</v>
      </c>
      <c r="F19" s="47">
        <f>'Lançamento Diário'!F20</f>
        <v>18</v>
      </c>
      <c r="G19" s="47">
        <f>'Lançamento Diário'!G20</f>
        <v>17</v>
      </c>
      <c r="H19" s="47">
        <f>'Lançamento Diário'!H20</f>
        <v>12</v>
      </c>
      <c r="I19" s="47">
        <f>'Lançamento Diário'!I20</f>
        <v>20</v>
      </c>
      <c r="J19" s="47">
        <f>'Lançamento Diário'!J20</f>
        <v>9</v>
      </c>
      <c r="K19" s="47">
        <f>'Lançamento Diário'!K20</f>
        <v>0</v>
      </c>
      <c r="L19" s="47">
        <f>'Lançamento Diário'!L20</f>
        <v>8</v>
      </c>
      <c r="M19" s="47">
        <f>'Lançamento Diário'!M20</f>
        <v>13</v>
      </c>
      <c r="N19" s="47">
        <f>'Lançamento Diário'!N20</f>
        <v>13</v>
      </c>
      <c r="O19" s="47">
        <f>'Lançamento Diário'!O20</f>
        <v>7</v>
      </c>
      <c r="P19" s="47">
        <f>'Lançamento Diário'!P20</f>
        <v>7</v>
      </c>
      <c r="Q19" s="47">
        <f>'Lançamento Diário'!Q20</f>
        <v>14</v>
      </c>
      <c r="R19" s="47">
        <f>'Lançamento Diário'!R20</f>
        <v>0</v>
      </c>
      <c r="S19" s="47">
        <f>'Lançamento Diário'!S20</f>
        <v>8</v>
      </c>
      <c r="T19" s="47">
        <f>'Lançamento Diário'!T20</f>
        <v>18</v>
      </c>
      <c r="U19" s="47">
        <f>'Lançamento Diário'!U20</f>
        <v>15</v>
      </c>
      <c r="V19" s="47">
        <f>'Lançamento Diário'!V20</f>
        <v>8</v>
      </c>
      <c r="W19" s="47">
        <f>'Lançamento Diário'!W20</f>
        <v>9</v>
      </c>
      <c r="X19" s="47">
        <f>'Lançamento Diário'!X20</f>
        <v>9</v>
      </c>
      <c r="Y19" s="47">
        <f>'Lançamento Diário'!Y20</f>
        <v>0</v>
      </c>
      <c r="Z19" s="47">
        <f>'Lançamento Diário'!Z20</f>
        <v>8</v>
      </c>
      <c r="AA19" s="47">
        <f>'Lançamento Diário'!AA20</f>
        <v>15</v>
      </c>
      <c r="AB19" s="47">
        <f>'Lançamento Diário'!AB20</f>
        <v>13</v>
      </c>
      <c r="AC19" s="47">
        <f>'Lançamento Diário'!AC20</f>
        <v>19</v>
      </c>
      <c r="AD19" s="47">
        <f>'Lançamento Diário'!AD20</f>
        <v>12</v>
      </c>
      <c r="AE19" s="47">
        <f>'Lançamento Diário'!AE20</f>
        <v>12</v>
      </c>
      <c r="AF19" s="47">
        <f>'Lançamento Diário'!AF20</f>
        <v>0</v>
      </c>
      <c r="AG19" s="47">
        <f>'Lançamento Diário'!AG20</f>
        <v>14</v>
      </c>
    </row>
    <row r="20" spans="2:33" ht="15.75" customHeight="1" x14ac:dyDescent="0.25">
      <c r="B20" s="48" t="s">
        <v>36</v>
      </c>
      <c r="C20" s="47">
        <f>'Lançamento Diário'!C28</f>
        <v>10</v>
      </c>
      <c r="D20" s="47">
        <f>'Lançamento Diário'!D28</f>
        <v>6</v>
      </c>
      <c r="E20" s="47">
        <f>'Lançamento Diário'!E28</f>
        <v>9</v>
      </c>
      <c r="F20" s="47">
        <f>'Lançamento Diário'!F28</f>
        <v>13</v>
      </c>
      <c r="G20" s="47">
        <f>'Lançamento Diário'!G28</f>
        <v>17</v>
      </c>
      <c r="H20" s="47">
        <f>'Lançamento Diário'!H28</f>
        <v>17</v>
      </c>
      <c r="I20" s="47">
        <f>'Lançamento Diário'!I28</f>
        <v>12</v>
      </c>
      <c r="J20" s="47">
        <f>'Lançamento Diário'!J28</f>
        <v>10</v>
      </c>
      <c r="K20" s="47">
        <f>'Lançamento Diário'!K28</f>
        <v>0</v>
      </c>
      <c r="L20" s="47">
        <f>'Lançamento Diário'!L28</f>
        <v>11</v>
      </c>
      <c r="M20" s="47">
        <f>'Lançamento Diário'!M28</f>
        <v>17</v>
      </c>
      <c r="N20" s="47">
        <f>'Lançamento Diário'!N28</f>
        <v>22</v>
      </c>
      <c r="O20" s="47">
        <f>'Lançamento Diário'!O28</f>
        <v>20</v>
      </c>
      <c r="P20" s="47">
        <f>'Lançamento Diário'!P28</f>
        <v>15</v>
      </c>
      <c r="Q20" s="47">
        <f>'Lançamento Diário'!Q28</f>
        <v>9</v>
      </c>
      <c r="R20" s="47">
        <f>'Lançamento Diário'!R28</f>
        <v>0</v>
      </c>
      <c r="S20" s="47">
        <f>'Lançamento Diário'!S28</f>
        <v>10</v>
      </c>
      <c r="T20" s="47">
        <f>'Lançamento Diário'!T28</f>
        <v>21</v>
      </c>
      <c r="U20" s="47">
        <f>'Lançamento Diário'!U28</f>
        <v>21</v>
      </c>
      <c r="V20" s="47">
        <f>'Lançamento Diário'!V28</f>
        <v>19</v>
      </c>
      <c r="W20" s="47">
        <f>'Lançamento Diário'!W28</f>
        <v>12</v>
      </c>
      <c r="X20" s="47">
        <f>'Lançamento Diário'!X28</f>
        <v>4</v>
      </c>
      <c r="Y20" s="47">
        <f>'Lançamento Diário'!Y28</f>
        <v>0</v>
      </c>
      <c r="Z20" s="47">
        <f>'Lançamento Diário'!Z28</f>
        <v>12</v>
      </c>
      <c r="AA20" s="47">
        <f>'Lançamento Diário'!AA28</f>
        <v>19</v>
      </c>
      <c r="AB20" s="47">
        <f>'Lançamento Diário'!AB28</f>
        <v>19</v>
      </c>
      <c r="AC20" s="47">
        <f>'Lançamento Diário'!AC28</f>
        <v>16</v>
      </c>
      <c r="AD20" s="47">
        <f>'Lançamento Diário'!AD28</f>
        <v>10</v>
      </c>
      <c r="AE20" s="47">
        <f>'Lançamento Diário'!AE28</f>
        <v>13</v>
      </c>
      <c r="AF20" s="47">
        <f>'Lançamento Diário'!AF28</f>
        <v>0</v>
      </c>
      <c r="AG20" s="47">
        <f>'Lançamento Diário'!AG28</f>
        <v>15</v>
      </c>
    </row>
    <row r="21" spans="2:33" ht="15.75" customHeight="1" x14ac:dyDescent="0.25">
      <c r="B21" s="48" t="s">
        <v>37</v>
      </c>
      <c r="C21" s="47">
        <f>'Lançamento Diário'!C36</f>
        <v>16</v>
      </c>
      <c r="D21" s="47">
        <f>'Lançamento Diário'!D36</f>
        <v>9</v>
      </c>
      <c r="E21" s="47">
        <f>'Lançamento Diário'!E36</f>
        <v>16</v>
      </c>
      <c r="F21" s="47">
        <f>'Lançamento Diário'!F36</f>
        <v>21</v>
      </c>
      <c r="G21" s="47">
        <f>'Lançamento Diário'!G36</f>
        <v>23</v>
      </c>
      <c r="H21" s="47">
        <f>'Lançamento Diário'!H36</f>
        <v>25</v>
      </c>
      <c r="I21" s="47">
        <f>'Lançamento Diário'!I36</f>
        <v>25</v>
      </c>
      <c r="J21" s="47">
        <f>'Lançamento Diário'!J36</f>
        <v>16</v>
      </c>
      <c r="K21" s="47">
        <f>'Lançamento Diário'!K36</f>
        <v>0</v>
      </c>
      <c r="L21" s="47">
        <f>'Lançamento Diário'!L36</f>
        <v>16</v>
      </c>
      <c r="M21" s="47">
        <f>'Lançamento Diário'!M36</f>
        <v>19</v>
      </c>
      <c r="N21" s="47">
        <f>'Lançamento Diário'!N36</f>
        <v>25</v>
      </c>
      <c r="O21" s="47">
        <f>'Lançamento Diário'!O36</f>
        <v>20</v>
      </c>
      <c r="P21" s="47">
        <f>'Lançamento Diário'!P36</f>
        <v>17</v>
      </c>
      <c r="Q21" s="47">
        <f>'Lançamento Diário'!Q36</f>
        <v>12</v>
      </c>
      <c r="R21" s="47">
        <f>'Lançamento Diário'!R36</f>
        <v>0</v>
      </c>
      <c r="S21" s="47">
        <f>'Lançamento Diário'!S36</f>
        <v>18</v>
      </c>
      <c r="T21" s="47">
        <f>'Lançamento Diário'!T36</f>
        <v>16</v>
      </c>
      <c r="U21" s="47">
        <f>'Lançamento Diário'!U36</f>
        <v>20</v>
      </c>
      <c r="V21" s="47">
        <f>'Lançamento Diário'!V36</f>
        <v>19</v>
      </c>
      <c r="W21" s="47">
        <f>'Lançamento Diário'!W36</f>
        <v>19</v>
      </c>
      <c r="X21" s="47">
        <f>'Lançamento Diário'!X36</f>
        <v>17</v>
      </c>
      <c r="Y21" s="47">
        <f>'Lançamento Diário'!Y36</f>
        <v>0</v>
      </c>
      <c r="Z21" s="47">
        <f>'Lançamento Diário'!Z36</f>
        <v>16</v>
      </c>
      <c r="AA21" s="47">
        <f>'Lançamento Diário'!AA36</f>
        <v>16</v>
      </c>
      <c r="AB21" s="47">
        <f>'Lançamento Diário'!AB36</f>
        <v>13</v>
      </c>
      <c r="AC21" s="47">
        <f>'Lançamento Diário'!AC36</f>
        <v>10</v>
      </c>
      <c r="AD21" s="47">
        <f>'Lançamento Diário'!AD36</f>
        <v>17</v>
      </c>
      <c r="AE21" s="47">
        <f>'Lançamento Diário'!AE36</f>
        <v>15</v>
      </c>
      <c r="AF21" s="47">
        <f>'Lançamento Diário'!AF36</f>
        <v>0</v>
      </c>
      <c r="AG21" s="47">
        <f>'Lançamento Diário'!AG36</f>
        <v>18</v>
      </c>
    </row>
    <row r="22" spans="2:33" ht="15.75" customHeight="1" x14ac:dyDescent="0.25">
      <c r="B22" s="48" t="s">
        <v>38</v>
      </c>
      <c r="C22" s="47">
        <f>'Lançamento Diário'!C44</f>
        <v>12</v>
      </c>
      <c r="D22" s="47">
        <f>'Lançamento Diário'!D44</f>
        <v>0</v>
      </c>
      <c r="E22" s="47">
        <f>'Lançamento Diário'!E44</f>
        <v>17</v>
      </c>
      <c r="F22" s="47">
        <f>'Lançamento Diário'!F44</f>
        <v>17</v>
      </c>
      <c r="G22" s="47">
        <f>'Lançamento Diário'!G44</f>
        <v>19</v>
      </c>
      <c r="H22" s="47">
        <f>'Lançamento Diário'!H44</f>
        <v>17</v>
      </c>
      <c r="I22" s="47">
        <f>'Lançamento Diário'!I44</f>
        <v>23</v>
      </c>
      <c r="J22" s="47">
        <f>'Lançamento Diário'!J44</f>
        <v>13</v>
      </c>
      <c r="K22" s="47">
        <f>'Lançamento Diário'!K44</f>
        <v>0</v>
      </c>
      <c r="L22" s="47">
        <f>'Lançamento Diário'!L44</f>
        <v>11</v>
      </c>
      <c r="M22" s="47">
        <f>'Lançamento Diário'!M44</f>
        <v>19</v>
      </c>
      <c r="N22" s="47">
        <f>'Lançamento Diário'!N44</f>
        <v>12</v>
      </c>
      <c r="O22" s="47">
        <f>'Lançamento Diário'!O44</f>
        <v>10</v>
      </c>
      <c r="P22" s="47">
        <f>'Lançamento Diário'!P44</f>
        <v>24</v>
      </c>
      <c r="Q22" s="47">
        <f>'Lançamento Diário'!Q44</f>
        <v>0</v>
      </c>
      <c r="R22" s="47">
        <f>'Lançamento Diário'!R44</f>
        <v>0</v>
      </c>
      <c r="S22" s="47">
        <f>'Lançamento Diário'!S44</f>
        <v>12</v>
      </c>
      <c r="T22" s="47">
        <f>'Lançamento Diário'!T44</f>
        <v>15</v>
      </c>
      <c r="U22" s="47">
        <f>'Lançamento Diário'!U44</f>
        <v>11</v>
      </c>
      <c r="V22" s="47">
        <f>'Lançamento Diário'!V44</f>
        <v>13</v>
      </c>
      <c r="W22" s="47">
        <f>'Lançamento Diário'!W44</f>
        <v>15</v>
      </c>
      <c r="X22" s="47">
        <f>'Lançamento Diário'!X44</f>
        <v>13</v>
      </c>
      <c r="Y22" s="47">
        <f>'Lançamento Diário'!Y44</f>
        <v>0</v>
      </c>
      <c r="Z22" s="47">
        <f>'Lançamento Diário'!Z44</f>
        <v>17</v>
      </c>
      <c r="AA22" s="47">
        <f>'Lançamento Diário'!AA44</f>
        <v>18</v>
      </c>
      <c r="AB22" s="47">
        <f>'Lançamento Diário'!AB44</f>
        <v>17</v>
      </c>
      <c r="AC22" s="47">
        <f>'Lançamento Diário'!AC44</f>
        <v>9</v>
      </c>
      <c r="AD22" s="47">
        <f>'Lançamento Diário'!AD44</f>
        <v>16</v>
      </c>
      <c r="AE22" s="47">
        <f>'Lançamento Diário'!AE44</f>
        <v>12</v>
      </c>
      <c r="AF22" s="47">
        <f>'Lançamento Diário'!AF44</f>
        <v>0</v>
      </c>
      <c r="AG22" s="47">
        <f>'Lançamento Diário'!AG44</f>
        <v>20</v>
      </c>
    </row>
    <row r="23" spans="2:33" ht="15.75" customHeight="1" x14ac:dyDescent="0.25">
      <c r="B23" s="48" t="s">
        <v>39</v>
      </c>
      <c r="C23" s="47">
        <f>'Lançamento Diário'!C52</f>
        <v>6</v>
      </c>
      <c r="D23" s="47">
        <f>'Lançamento Diário'!D52</f>
        <v>0</v>
      </c>
      <c r="E23" s="47">
        <f>'Lançamento Diário'!E52</f>
        <v>5</v>
      </c>
      <c r="F23" s="47">
        <f>'Lançamento Diário'!F52</f>
        <v>5</v>
      </c>
      <c r="G23" s="47">
        <f>'Lançamento Diário'!G52</f>
        <v>2</v>
      </c>
      <c r="H23" s="47">
        <f>'Lançamento Diário'!H52</f>
        <v>5</v>
      </c>
      <c r="I23" s="47">
        <f>'Lançamento Diário'!I52</f>
        <v>5</v>
      </c>
      <c r="J23" s="47">
        <f>'Lançamento Diário'!J52</f>
        <v>0</v>
      </c>
      <c r="K23" s="47">
        <f>'Lançamento Diário'!K52</f>
        <v>0</v>
      </c>
      <c r="L23" s="47">
        <f>'Lançamento Diário'!L52</f>
        <v>4</v>
      </c>
      <c r="M23" s="47">
        <f>'Lançamento Diário'!M52</f>
        <v>3</v>
      </c>
      <c r="N23" s="47">
        <f>'Lançamento Diário'!N52</f>
        <v>2</v>
      </c>
      <c r="O23" s="47">
        <f>'Lançamento Diário'!O52</f>
        <v>6</v>
      </c>
      <c r="P23" s="47">
        <f>'Lançamento Diário'!P52</f>
        <v>3</v>
      </c>
      <c r="Q23" s="47">
        <f>'Lançamento Diário'!Q52</f>
        <v>4</v>
      </c>
      <c r="R23" s="47">
        <f>'Lançamento Diário'!R52</f>
        <v>0</v>
      </c>
      <c r="S23" s="47">
        <f>'Lançamento Diário'!S52</f>
        <v>2</v>
      </c>
      <c r="T23" s="47">
        <f>'Lançamento Diário'!T52</f>
        <v>6</v>
      </c>
      <c r="U23" s="47">
        <f>'Lançamento Diário'!U52</f>
        <v>2</v>
      </c>
      <c r="V23" s="47">
        <f>'Lançamento Diário'!V52</f>
        <v>3</v>
      </c>
      <c r="W23" s="47">
        <f>'Lançamento Diário'!W52</f>
        <v>3</v>
      </c>
      <c r="X23" s="47">
        <f>'Lançamento Diário'!X52</f>
        <v>5</v>
      </c>
      <c r="Y23" s="47">
        <f>'Lançamento Diário'!Y52</f>
        <v>0</v>
      </c>
      <c r="Z23" s="47">
        <f>'Lançamento Diário'!Z52</f>
        <v>5</v>
      </c>
      <c r="AA23" s="47">
        <f>'Lançamento Diário'!AA52</f>
        <v>7</v>
      </c>
      <c r="AB23" s="47">
        <f>'Lançamento Diário'!AB52</f>
        <v>2</v>
      </c>
      <c r="AC23" s="47">
        <f>'Lançamento Diário'!AC52</f>
        <v>5</v>
      </c>
      <c r="AD23" s="47">
        <f>'Lançamento Diário'!AD52</f>
        <v>3</v>
      </c>
      <c r="AE23" s="47">
        <f>'Lançamento Diário'!AE52</f>
        <v>5</v>
      </c>
      <c r="AF23" s="47">
        <f>'Lançamento Diário'!AF52</f>
        <v>0</v>
      </c>
      <c r="AG23" s="47">
        <f>'Lançamento Diário'!AG52</f>
        <v>0</v>
      </c>
    </row>
    <row r="24" spans="2:33" x14ac:dyDescent="0.25">
      <c r="B24" s="50" t="s">
        <v>50</v>
      </c>
      <c r="C24" s="51">
        <f t="shared" ref="C24:AG24" si="3">SUM(C18:C23)</f>
        <v>75</v>
      </c>
      <c r="D24" s="51">
        <f t="shared" si="3"/>
        <v>28</v>
      </c>
      <c r="E24" s="51">
        <f t="shared" si="3"/>
        <v>87</v>
      </c>
      <c r="F24" s="51">
        <f t="shared" si="3"/>
        <v>112</v>
      </c>
      <c r="G24" s="51">
        <f t="shared" si="3"/>
        <v>116</v>
      </c>
      <c r="H24" s="51">
        <f t="shared" si="3"/>
        <v>112</v>
      </c>
      <c r="I24" s="51">
        <f t="shared" si="3"/>
        <v>117</v>
      </c>
      <c r="J24" s="51">
        <f t="shared" si="3"/>
        <v>82</v>
      </c>
      <c r="K24" s="51">
        <f t="shared" si="3"/>
        <v>0</v>
      </c>
      <c r="L24" s="51">
        <f t="shared" si="3"/>
        <v>50</v>
      </c>
      <c r="M24" s="51">
        <f t="shared" si="3"/>
        <v>105</v>
      </c>
      <c r="N24" s="51">
        <f t="shared" si="3"/>
        <v>103</v>
      </c>
      <c r="O24" s="51">
        <f t="shared" si="3"/>
        <v>91</v>
      </c>
      <c r="P24" s="51">
        <f t="shared" si="3"/>
        <v>96</v>
      </c>
      <c r="Q24" s="51">
        <f t="shared" si="3"/>
        <v>57</v>
      </c>
      <c r="R24" s="51">
        <f t="shared" si="3"/>
        <v>0</v>
      </c>
      <c r="S24" s="51">
        <f t="shared" si="3"/>
        <v>69</v>
      </c>
      <c r="T24" s="51">
        <f t="shared" si="3"/>
        <v>104</v>
      </c>
      <c r="U24" s="51">
        <f t="shared" si="3"/>
        <v>97</v>
      </c>
      <c r="V24" s="51">
        <f t="shared" si="3"/>
        <v>86</v>
      </c>
      <c r="W24" s="51">
        <f t="shared" si="3"/>
        <v>86</v>
      </c>
      <c r="X24" s="51">
        <f t="shared" si="3"/>
        <v>76</v>
      </c>
      <c r="Y24" s="51">
        <f t="shared" si="3"/>
        <v>0</v>
      </c>
      <c r="Z24" s="51">
        <f t="shared" si="3"/>
        <v>87</v>
      </c>
      <c r="AA24" s="51">
        <f t="shared" si="3"/>
        <v>104</v>
      </c>
      <c r="AB24" s="51">
        <f t="shared" si="3"/>
        <v>92</v>
      </c>
      <c r="AC24" s="51">
        <f t="shared" si="3"/>
        <v>82</v>
      </c>
      <c r="AD24" s="51">
        <f t="shared" si="3"/>
        <v>83</v>
      </c>
      <c r="AE24" s="51">
        <f t="shared" si="3"/>
        <v>80</v>
      </c>
      <c r="AF24" s="51">
        <f t="shared" si="3"/>
        <v>0</v>
      </c>
      <c r="AG24" s="51">
        <f t="shared" si="3"/>
        <v>83</v>
      </c>
    </row>
    <row r="26" spans="2:33" ht="19.5" customHeight="1" x14ac:dyDescent="0.25">
      <c r="B26" s="95" t="s">
        <v>87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</row>
    <row r="27" spans="2:33" x14ac:dyDescent="0.25">
      <c r="B27" s="44" t="s">
        <v>24</v>
      </c>
      <c r="C27" s="45">
        <v>1</v>
      </c>
      <c r="D27" s="45">
        <v>2</v>
      </c>
      <c r="E27" s="45">
        <v>3</v>
      </c>
      <c r="F27" s="45">
        <v>4</v>
      </c>
      <c r="G27" s="45">
        <v>5</v>
      </c>
      <c r="H27" s="45">
        <v>6</v>
      </c>
      <c r="I27" s="45">
        <v>7</v>
      </c>
      <c r="J27" s="45">
        <v>8</v>
      </c>
      <c r="K27" s="45">
        <v>9</v>
      </c>
      <c r="L27" s="45">
        <v>10</v>
      </c>
      <c r="M27" s="45">
        <v>11</v>
      </c>
      <c r="N27" s="45">
        <v>12</v>
      </c>
      <c r="O27" s="45">
        <v>13</v>
      </c>
      <c r="P27" s="45">
        <v>14</v>
      </c>
      <c r="Q27" s="45">
        <v>15</v>
      </c>
      <c r="R27" s="45">
        <v>16</v>
      </c>
      <c r="S27" s="45">
        <v>17</v>
      </c>
      <c r="T27" s="45">
        <v>18</v>
      </c>
      <c r="U27" s="45">
        <v>19</v>
      </c>
      <c r="V27" s="45">
        <v>20</v>
      </c>
      <c r="W27" s="45">
        <v>21</v>
      </c>
      <c r="X27" s="45">
        <v>22</v>
      </c>
      <c r="Y27" s="45">
        <v>23</v>
      </c>
      <c r="Z27" s="45">
        <v>24</v>
      </c>
      <c r="AA27" s="45">
        <v>25</v>
      </c>
      <c r="AB27" s="45">
        <v>26</v>
      </c>
      <c r="AC27" s="45">
        <v>27</v>
      </c>
      <c r="AD27" s="45">
        <v>28</v>
      </c>
      <c r="AE27" s="45">
        <v>29</v>
      </c>
      <c r="AF27" s="45">
        <v>30</v>
      </c>
      <c r="AG27" s="45">
        <v>31</v>
      </c>
    </row>
    <row r="28" spans="2:33" ht="15.75" customHeight="1" x14ac:dyDescent="0.25">
      <c r="B28" s="48" t="s">
        <v>34</v>
      </c>
      <c r="C28" s="47">
        <f>'Lançamento Diário'!C7+'Lançamento Diário'!C8</f>
        <v>17</v>
      </c>
      <c r="D28" s="47">
        <f>'Lançamento Diário'!D7+'Lançamento Diário'!D8</f>
        <v>12</v>
      </c>
      <c r="E28" s="47">
        <f>'Lançamento Diário'!E7+'Lançamento Diário'!E8</f>
        <v>13</v>
      </c>
      <c r="F28" s="47">
        <f>'Lançamento Diário'!F7+'Lançamento Diário'!F8</f>
        <v>21</v>
      </c>
      <c r="G28" s="47">
        <f>'Lançamento Diário'!G7+'Lançamento Diário'!G8</f>
        <v>24</v>
      </c>
      <c r="H28" s="47">
        <f>'Lançamento Diário'!H7+'Lançamento Diário'!H8</f>
        <v>19</v>
      </c>
      <c r="I28" s="47">
        <f>'Lançamento Diário'!I7+'Lançamento Diário'!I8</f>
        <v>20</v>
      </c>
      <c r="J28" s="47">
        <f>'Lançamento Diário'!J7+'Lançamento Diário'!J8</f>
        <v>21</v>
      </c>
      <c r="K28" s="47">
        <f>'Lançamento Diário'!K7+'Lançamento Diário'!K8</f>
        <v>0</v>
      </c>
      <c r="L28" s="47">
        <f>'Lançamento Diário'!L7+'Lançamento Diário'!L8</f>
        <v>0</v>
      </c>
      <c r="M28" s="47">
        <f>'Lançamento Diário'!M7+'Lançamento Diário'!M8</f>
        <v>20</v>
      </c>
      <c r="N28" s="47">
        <f>'Lançamento Diário'!N7+'Lançamento Diário'!N8</f>
        <v>21</v>
      </c>
      <c r="O28" s="47">
        <f>'Lançamento Diário'!O7+'Lançamento Diário'!O8</f>
        <v>19</v>
      </c>
      <c r="P28" s="47">
        <f>'Lançamento Diário'!P7+'Lançamento Diário'!P8</f>
        <v>24</v>
      </c>
      <c r="Q28" s="47">
        <f>'Lançamento Diário'!Q7+'Lançamento Diário'!Q8</f>
        <v>13</v>
      </c>
      <c r="R28" s="47">
        <f>'Lançamento Diário'!R7+'Lançamento Diário'!R8</f>
        <v>0</v>
      </c>
      <c r="S28" s="47">
        <f>'Lançamento Diário'!S7+'Lançamento Diário'!S8</f>
        <v>8</v>
      </c>
      <c r="T28" s="47">
        <f>'Lançamento Diário'!T7+'Lançamento Diário'!T8</f>
        <v>20</v>
      </c>
      <c r="U28" s="47">
        <f>'Lançamento Diário'!U7+'Lançamento Diário'!U8</f>
        <v>17</v>
      </c>
      <c r="V28" s="47">
        <f>'Lançamento Diário'!V7+'Lançamento Diário'!V8</f>
        <v>18</v>
      </c>
      <c r="W28" s="47">
        <f>'Lançamento Diário'!W7+'Lançamento Diário'!W8</f>
        <v>22</v>
      </c>
      <c r="X28" s="47">
        <f>'Lançamento Diário'!X7+'Lançamento Diário'!X8</f>
        <v>21</v>
      </c>
      <c r="Y28" s="47">
        <f>'Lançamento Diário'!Y7+'Lançamento Diário'!Y8</f>
        <v>0</v>
      </c>
      <c r="Z28" s="47">
        <f>'Lançamento Diário'!Z7+'Lançamento Diário'!Z8</f>
        <v>13</v>
      </c>
      <c r="AA28" s="47">
        <f>'Lançamento Diário'!AA7+'Lançamento Diário'!AA8</f>
        <v>15</v>
      </c>
      <c r="AB28" s="47">
        <f>'Lançamento Diário'!AB7+'Lançamento Diário'!AB8</f>
        <v>24</v>
      </c>
      <c r="AC28" s="47">
        <f>'Lançamento Diário'!AC7+'Lançamento Diário'!AC8</f>
        <v>17</v>
      </c>
      <c r="AD28" s="47">
        <f>'Lançamento Diário'!AD7+'Lançamento Diário'!AD8</f>
        <v>19</v>
      </c>
      <c r="AE28" s="47">
        <f>'Lançamento Diário'!AE7+'Lançamento Diário'!AE8</f>
        <v>19</v>
      </c>
      <c r="AF28" s="47">
        <f>'Lançamento Diário'!AF7+'Lançamento Diário'!AF8</f>
        <v>0</v>
      </c>
      <c r="AG28" s="47">
        <f>'Lançamento Diário'!AG7+'Lançamento Diário'!AG8</f>
        <v>3</v>
      </c>
    </row>
    <row r="29" spans="2:33" ht="15.75" customHeight="1" x14ac:dyDescent="0.25">
      <c r="B29" s="48" t="s">
        <v>35</v>
      </c>
      <c r="C29" s="47">
        <f>'Lançamento Diário'!C15+'Lançamento Diário'!C16</f>
        <v>6</v>
      </c>
      <c r="D29" s="47">
        <f>'Lançamento Diário'!D15+'Lançamento Diário'!D16</f>
        <v>0</v>
      </c>
      <c r="E29" s="47">
        <f>'Lançamento Diário'!E15+'Lançamento Diário'!E16</f>
        <v>5</v>
      </c>
      <c r="F29" s="47">
        <f>'Lançamento Diário'!F15+'Lançamento Diário'!F16</f>
        <v>8</v>
      </c>
      <c r="G29" s="47">
        <f>'Lançamento Diário'!G15+'Lançamento Diário'!G16</f>
        <v>8</v>
      </c>
      <c r="H29" s="47">
        <f>'Lançamento Diário'!H15+'Lançamento Diário'!H16</f>
        <v>6</v>
      </c>
      <c r="I29" s="47">
        <f>'Lançamento Diário'!I15+'Lançamento Diário'!I16</f>
        <v>7</v>
      </c>
      <c r="J29" s="47">
        <f>'Lançamento Diário'!J15+'Lançamento Diário'!J16</f>
        <v>5</v>
      </c>
      <c r="K29" s="47">
        <f>'Lançamento Diário'!K15+'Lançamento Diário'!K16</f>
        <v>0</v>
      </c>
      <c r="L29" s="47">
        <f>'Lançamento Diário'!L15+'Lançamento Diário'!L16</f>
        <v>4</v>
      </c>
      <c r="M29" s="47">
        <f>'Lançamento Diário'!M15+'Lançamento Diário'!M16</f>
        <v>5</v>
      </c>
      <c r="N29" s="47">
        <f>'Lançamento Diário'!N15+'Lançamento Diário'!N16</f>
        <v>5</v>
      </c>
      <c r="O29" s="47">
        <f>'Lançamento Diário'!O15+'Lançamento Diário'!O16</f>
        <v>6</v>
      </c>
      <c r="P29" s="47">
        <f>'Lançamento Diário'!P15+'Lançamento Diário'!P16</f>
        <v>4</v>
      </c>
      <c r="Q29" s="47">
        <f>'Lançamento Diário'!Q15+'Lançamento Diário'!Q16</f>
        <v>8</v>
      </c>
      <c r="R29" s="47">
        <f>'Lançamento Diário'!R15+'Lançamento Diário'!R16</f>
        <v>0</v>
      </c>
      <c r="S29" s="47">
        <f>'Lançamento Diário'!S15+'Lançamento Diário'!S16</f>
        <v>2</v>
      </c>
      <c r="T29" s="47">
        <f>'Lançamento Diário'!T15+'Lançamento Diário'!T16</f>
        <v>7</v>
      </c>
      <c r="U29" s="47">
        <f>'Lançamento Diário'!U15+'Lançamento Diário'!U16</f>
        <v>5</v>
      </c>
      <c r="V29" s="47">
        <f>'Lançamento Diário'!V15+'Lançamento Diário'!V16</f>
        <v>3</v>
      </c>
      <c r="W29" s="47">
        <f>'Lançamento Diário'!W15+'Lançamento Diário'!W16</f>
        <v>4</v>
      </c>
      <c r="X29" s="47">
        <f>'Lançamento Diário'!X15+'Lançamento Diário'!X16</f>
        <v>6</v>
      </c>
      <c r="Y29" s="47">
        <f>'Lançamento Diário'!Y15+'Lançamento Diário'!Y16</f>
        <v>0</v>
      </c>
      <c r="Z29" s="47">
        <f>'Lançamento Diário'!Z15+'Lançamento Diário'!Z16</f>
        <v>4</v>
      </c>
      <c r="AA29" s="47">
        <f>'Lançamento Diário'!AA15+'Lançamento Diário'!AA16</f>
        <v>8</v>
      </c>
      <c r="AB29" s="47">
        <f>'Lançamento Diário'!AB15+'Lançamento Diário'!AB16</f>
        <v>4</v>
      </c>
      <c r="AC29" s="47">
        <f>'Lançamento Diário'!AC15+'Lançamento Diário'!AC16</f>
        <v>10</v>
      </c>
      <c r="AD29" s="47">
        <f>'Lançamento Diário'!AD15+'Lançamento Diário'!AD16</f>
        <v>5</v>
      </c>
      <c r="AE29" s="47">
        <f>'Lançamento Diário'!AE15+'Lançamento Diário'!AE16</f>
        <v>9</v>
      </c>
      <c r="AF29" s="47">
        <f>'Lançamento Diário'!AF15+'Lançamento Diário'!AF16</f>
        <v>0</v>
      </c>
      <c r="AG29" s="47">
        <f>'Lançamento Diário'!AG15+'Lançamento Diário'!AG16</f>
        <v>4</v>
      </c>
    </row>
    <row r="30" spans="2:33" ht="15.75" customHeight="1" x14ac:dyDescent="0.25">
      <c r="B30" s="48" t="s">
        <v>36</v>
      </c>
      <c r="C30" s="47">
        <f>'Lançamento Diário'!C23+'Lançamento Diário'!C24</f>
        <v>7</v>
      </c>
      <c r="D30" s="47">
        <f>'Lançamento Diário'!D23+'Lançamento Diário'!D24</f>
        <v>5</v>
      </c>
      <c r="E30" s="47">
        <f>'Lançamento Diário'!E23+'Lançamento Diário'!E24</f>
        <v>4</v>
      </c>
      <c r="F30" s="47">
        <f>'Lançamento Diário'!F23+'Lançamento Diário'!F24</f>
        <v>8</v>
      </c>
      <c r="G30" s="47">
        <f>'Lançamento Diário'!G23+'Lançamento Diário'!G24</f>
        <v>10</v>
      </c>
      <c r="H30" s="47">
        <f>'Lançamento Diário'!H23+'Lançamento Diário'!H24</f>
        <v>10</v>
      </c>
      <c r="I30" s="47">
        <f>'Lançamento Diário'!I23+'Lançamento Diário'!I24</f>
        <v>8</v>
      </c>
      <c r="J30" s="47">
        <f>'Lançamento Diário'!J23+'Lançamento Diário'!J24</f>
        <v>8</v>
      </c>
      <c r="K30" s="47">
        <f>'Lançamento Diário'!K23+'Lançamento Diário'!K24</f>
        <v>0</v>
      </c>
      <c r="L30" s="47">
        <f>'Lançamento Diário'!L23+'Lançamento Diário'!L24</f>
        <v>7</v>
      </c>
      <c r="M30" s="47">
        <f>'Lançamento Diário'!M23+'Lançamento Diário'!M24</f>
        <v>13</v>
      </c>
      <c r="N30" s="47">
        <f>'Lançamento Diário'!N23+'Lançamento Diário'!N24</f>
        <v>13</v>
      </c>
      <c r="O30" s="47">
        <f>'Lançamento Diário'!O23+'Lançamento Diário'!O24</f>
        <v>15</v>
      </c>
      <c r="P30" s="47">
        <f>'Lançamento Diário'!P23+'Lançamento Diário'!P24</f>
        <v>7</v>
      </c>
      <c r="Q30" s="47">
        <f>'Lançamento Diário'!Q23+'Lançamento Diário'!Q24</f>
        <v>9</v>
      </c>
      <c r="R30" s="47">
        <f>'Lançamento Diário'!R23+'Lançamento Diário'!R24</f>
        <v>0</v>
      </c>
      <c r="S30" s="47">
        <f>'Lançamento Diário'!S23+'Lançamento Diário'!S24</f>
        <v>8</v>
      </c>
      <c r="T30" s="47">
        <f>'Lançamento Diário'!T23+'Lançamento Diário'!T24</f>
        <v>10</v>
      </c>
      <c r="U30" s="47">
        <f>'Lançamento Diário'!U23+'Lançamento Diário'!U24</f>
        <v>12</v>
      </c>
      <c r="V30" s="47">
        <f>'Lançamento Diário'!V23+'Lançamento Diário'!V24</f>
        <v>16</v>
      </c>
      <c r="W30" s="47">
        <f>'Lançamento Diário'!W23+'Lançamento Diário'!W24</f>
        <v>7</v>
      </c>
      <c r="X30" s="47">
        <f>'Lançamento Diário'!X23+'Lançamento Diário'!X24</f>
        <v>3</v>
      </c>
      <c r="Y30" s="47">
        <f>'Lançamento Diário'!Y23+'Lançamento Diário'!Y24</f>
        <v>0</v>
      </c>
      <c r="Z30" s="47">
        <f>'Lançamento Diário'!Z23+'Lançamento Diário'!Z24</f>
        <v>5</v>
      </c>
      <c r="AA30" s="47">
        <f>'Lançamento Diário'!AA23+'Lançamento Diário'!AA24</f>
        <v>12</v>
      </c>
      <c r="AB30" s="47">
        <f>'Lançamento Diário'!AB23+'Lançamento Diário'!AB24</f>
        <v>15</v>
      </c>
      <c r="AC30" s="47">
        <f>'Lançamento Diário'!AC23+'Lançamento Diário'!AC24</f>
        <v>10</v>
      </c>
      <c r="AD30" s="47">
        <f>'Lançamento Diário'!AD23+'Lançamento Diário'!AD24</f>
        <v>6</v>
      </c>
      <c r="AE30" s="47">
        <f>'Lançamento Diário'!AE23+'Lançamento Diário'!AE24</f>
        <v>11</v>
      </c>
      <c r="AF30" s="47">
        <f>'Lançamento Diário'!AF23+'Lançamento Diário'!AF24</f>
        <v>0</v>
      </c>
      <c r="AG30" s="47">
        <f>'Lançamento Diário'!AG23+'Lançamento Diário'!AG24</f>
        <v>11</v>
      </c>
    </row>
    <row r="31" spans="2:33" ht="15.75" customHeight="1" x14ac:dyDescent="0.25">
      <c r="B31" s="48" t="s">
        <v>37</v>
      </c>
      <c r="C31" s="47">
        <f>'Lançamento Diário'!C31+'Lançamento Diário'!C32</f>
        <v>8</v>
      </c>
      <c r="D31" s="47">
        <f>'Lançamento Diário'!D31+'Lançamento Diário'!D32</f>
        <v>7</v>
      </c>
      <c r="E31" s="47">
        <f>'Lançamento Diário'!E31+'Lançamento Diário'!E32</f>
        <v>4</v>
      </c>
      <c r="F31" s="47">
        <f>'Lançamento Diário'!F31+'Lançamento Diário'!F32</f>
        <v>11</v>
      </c>
      <c r="G31" s="47">
        <f>'Lançamento Diário'!G31+'Lançamento Diário'!G32</f>
        <v>13</v>
      </c>
      <c r="H31" s="47">
        <f>'Lançamento Diário'!H31+'Lançamento Diário'!H32</f>
        <v>11</v>
      </c>
      <c r="I31" s="47">
        <f>'Lançamento Diário'!I31+'Lançamento Diário'!I32</f>
        <v>13</v>
      </c>
      <c r="J31" s="47">
        <f>'Lançamento Diário'!J31+'Lançamento Diário'!J32</f>
        <v>11</v>
      </c>
      <c r="K31" s="47">
        <f>'Lançamento Diário'!K31+'Lançamento Diário'!K32</f>
        <v>0</v>
      </c>
      <c r="L31" s="47">
        <f>'Lançamento Diário'!L31+'Lançamento Diário'!L32</f>
        <v>7</v>
      </c>
      <c r="M31" s="47">
        <f>'Lançamento Diário'!M31+'Lançamento Diário'!M32</f>
        <v>13</v>
      </c>
      <c r="N31" s="47">
        <f>'Lançamento Diário'!N31+'Lançamento Diário'!N32</f>
        <v>14</v>
      </c>
      <c r="O31" s="47">
        <f>'Lançamento Diário'!O31+'Lançamento Diário'!O32</f>
        <v>14</v>
      </c>
      <c r="P31" s="47">
        <f>'Lançamento Diário'!P31+'Lançamento Diário'!P32</f>
        <v>9</v>
      </c>
      <c r="Q31" s="47">
        <f>'Lançamento Diário'!Q31+'Lançamento Diário'!Q32</f>
        <v>10</v>
      </c>
      <c r="R31" s="47">
        <f>'Lançamento Diário'!R31+'Lançamento Diário'!R32</f>
        <v>0</v>
      </c>
      <c r="S31" s="47">
        <f>'Lançamento Diário'!S31+'Lançamento Diário'!S32</f>
        <v>8</v>
      </c>
      <c r="T31" s="47">
        <f>'Lançamento Diário'!T31+'Lançamento Diário'!T32</f>
        <v>9</v>
      </c>
      <c r="U31" s="47">
        <f>'Lançamento Diário'!U31+'Lançamento Diário'!U32</f>
        <v>17</v>
      </c>
      <c r="V31" s="47">
        <f>'Lançamento Diário'!V31+'Lançamento Diário'!V32</f>
        <v>12</v>
      </c>
      <c r="W31" s="47">
        <f>'Lançamento Diário'!W31+'Lançamento Diário'!W32</f>
        <v>13</v>
      </c>
      <c r="X31" s="47">
        <f>'Lançamento Diário'!X31+'Lançamento Diário'!X32</f>
        <v>10</v>
      </c>
      <c r="Y31" s="47">
        <f>'Lançamento Diário'!Y31+'Lançamento Diário'!Y32</f>
        <v>0</v>
      </c>
      <c r="Z31" s="47">
        <f>'Lançamento Diário'!Z31+'Lançamento Diário'!Z32</f>
        <v>5</v>
      </c>
      <c r="AA31" s="47">
        <f>'Lançamento Diário'!AA31+'Lançamento Diário'!AA32</f>
        <v>9</v>
      </c>
      <c r="AB31" s="47">
        <f>'Lançamento Diário'!AB31+'Lançamento Diário'!AB32</f>
        <v>10</v>
      </c>
      <c r="AC31" s="47">
        <f>'Lançamento Diário'!AC31+'Lançamento Diário'!AC32</f>
        <v>7</v>
      </c>
      <c r="AD31" s="47">
        <f>'Lançamento Diário'!AD31+'Lançamento Diário'!AD32</f>
        <v>13</v>
      </c>
      <c r="AE31" s="47">
        <f>'Lançamento Diário'!AE31+'Lançamento Diário'!AE32</f>
        <v>12</v>
      </c>
      <c r="AF31" s="47">
        <f>'Lançamento Diário'!AF31+'Lançamento Diário'!AF32</f>
        <v>0</v>
      </c>
      <c r="AG31" s="47">
        <f>'Lançamento Diário'!AG31+'Lançamento Diário'!AG32</f>
        <v>8</v>
      </c>
    </row>
    <row r="32" spans="2:33" ht="15.75" customHeight="1" x14ac:dyDescent="0.25">
      <c r="B32" s="48" t="s">
        <v>38</v>
      </c>
      <c r="C32" s="47">
        <f>'Lançamento Diário'!C39+'Lançamento Diário'!C40</f>
        <v>7</v>
      </c>
      <c r="D32" s="47">
        <f>'Lançamento Diário'!D39+'Lançamento Diário'!D40</f>
        <v>0</v>
      </c>
      <c r="E32" s="47">
        <f>'Lançamento Diário'!E39+'Lançamento Diário'!E40</f>
        <v>3</v>
      </c>
      <c r="F32" s="47">
        <f>'Lançamento Diário'!F39+'Lançamento Diário'!F40</f>
        <v>9</v>
      </c>
      <c r="G32" s="47">
        <f>'Lançamento Diário'!G39+'Lançamento Diário'!G40</f>
        <v>7</v>
      </c>
      <c r="H32" s="47">
        <f>'Lançamento Diário'!H39+'Lançamento Diário'!H40</f>
        <v>8</v>
      </c>
      <c r="I32" s="47">
        <f>'Lançamento Diário'!I39+'Lançamento Diário'!I40</f>
        <v>10</v>
      </c>
      <c r="J32" s="47">
        <f>'Lançamento Diário'!J39+'Lançamento Diário'!J40</f>
        <v>6</v>
      </c>
      <c r="K32" s="47">
        <f>'Lançamento Diário'!K39+'Lançamento Diário'!K40</f>
        <v>0</v>
      </c>
      <c r="L32" s="47">
        <f>'Lançamento Diário'!L39+'Lançamento Diário'!L40</f>
        <v>5</v>
      </c>
      <c r="M32" s="47">
        <f>'Lançamento Diário'!M39+'Lançamento Diário'!M40</f>
        <v>14</v>
      </c>
      <c r="N32" s="47">
        <f>'Lançamento Diário'!N39+'Lançamento Diário'!N40</f>
        <v>5</v>
      </c>
      <c r="O32" s="47">
        <f>'Lançamento Diário'!O39+'Lançamento Diário'!O40</f>
        <v>8</v>
      </c>
      <c r="P32" s="47">
        <f>'Lançamento Diário'!P39+'Lançamento Diário'!P40</f>
        <v>14</v>
      </c>
      <c r="Q32" s="47">
        <f>'Lançamento Diário'!Q39+'Lançamento Diário'!Q40</f>
        <v>0</v>
      </c>
      <c r="R32" s="47">
        <f>'Lançamento Diário'!R39+'Lançamento Diário'!R40</f>
        <v>0</v>
      </c>
      <c r="S32" s="47">
        <f>'Lançamento Diário'!S39+'Lançamento Diário'!S40</f>
        <v>5</v>
      </c>
      <c r="T32" s="47">
        <f>'Lançamento Diário'!T39+'Lançamento Diário'!T40</f>
        <v>8</v>
      </c>
      <c r="U32" s="47">
        <f>'Lançamento Diário'!U39+'Lançamento Diário'!U40</f>
        <v>7</v>
      </c>
      <c r="V32" s="47">
        <f>'Lançamento Diário'!V39+'Lançamento Diário'!V40</f>
        <v>6</v>
      </c>
      <c r="W32" s="47">
        <f>'Lançamento Diário'!W39+'Lançamento Diário'!W40</f>
        <v>4</v>
      </c>
      <c r="X32" s="47">
        <f>'Lançamento Diário'!X39+'Lançamento Diário'!X40</f>
        <v>12</v>
      </c>
      <c r="Y32" s="47">
        <f>'Lançamento Diário'!Y39+'Lançamento Diário'!Y40</f>
        <v>0</v>
      </c>
      <c r="Z32" s="47">
        <f>'Lançamento Diário'!Z39+'Lançamento Diário'!Z40</f>
        <v>4</v>
      </c>
      <c r="AA32" s="47">
        <f>'Lançamento Diário'!AA39+'Lançamento Diário'!AA40</f>
        <v>8</v>
      </c>
      <c r="AB32" s="47">
        <f>'Lançamento Diário'!AB39+'Lançamento Diário'!AB40</f>
        <v>8</v>
      </c>
      <c r="AC32" s="47">
        <f>'Lançamento Diário'!AC39+'Lançamento Diário'!AC40</f>
        <v>6</v>
      </c>
      <c r="AD32" s="47">
        <f>'Lançamento Diário'!AD39+'Lançamento Diário'!AD40</f>
        <v>8</v>
      </c>
      <c r="AE32" s="47">
        <f>'Lançamento Diário'!AE39+'Lançamento Diário'!AE40</f>
        <v>8</v>
      </c>
      <c r="AF32" s="47">
        <f>'Lançamento Diário'!AF39+'Lançamento Diário'!AF40</f>
        <v>0</v>
      </c>
      <c r="AG32" s="47">
        <f>'Lançamento Diário'!AG39+'Lançamento Diário'!AG40</f>
        <v>4</v>
      </c>
    </row>
    <row r="33" spans="2:33" ht="15.75" customHeight="1" x14ac:dyDescent="0.25">
      <c r="B33" s="48" t="s">
        <v>39</v>
      </c>
      <c r="C33" s="47">
        <f>'Lançamento Diário'!C47+'Lançamento Diário'!C48</f>
        <v>3</v>
      </c>
      <c r="D33" s="47">
        <f>'Lançamento Diário'!D47+'Lançamento Diário'!D48</f>
        <v>0</v>
      </c>
      <c r="E33" s="47">
        <f>'Lançamento Diário'!E47+'Lançamento Diário'!E48</f>
        <v>0</v>
      </c>
      <c r="F33" s="47">
        <f>'Lançamento Diário'!F47+'Lançamento Diário'!F48</f>
        <v>2</v>
      </c>
      <c r="G33" s="47">
        <f>'Lançamento Diário'!G47+'Lançamento Diário'!G48</f>
        <v>0</v>
      </c>
      <c r="H33" s="47">
        <f>'Lançamento Diário'!H47+'Lançamento Diário'!H48</f>
        <v>3</v>
      </c>
      <c r="I33" s="47">
        <f>'Lançamento Diário'!I47+'Lançamento Diário'!I48</f>
        <v>0</v>
      </c>
      <c r="J33" s="47">
        <f>'Lançamento Diário'!J47+'Lançamento Diário'!J48</f>
        <v>0</v>
      </c>
      <c r="K33" s="47">
        <f>'Lançamento Diário'!K47+'Lançamento Diário'!K48</f>
        <v>0</v>
      </c>
      <c r="L33" s="47">
        <f>'Lançamento Diário'!L47+'Lançamento Diário'!L48</f>
        <v>3</v>
      </c>
      <c r="M33" s="47">
        <f>'Lançamento Diário'!M47+'Lançamento Diário'!M48</f>
        <v>3</v>
      </c>
      <c r="N33" s="47">
        <f>'Lançamento Diário'!N47+'Lançamento Diário'!N48</f>
        <v>1</v>
      </c>
      <c r="O33" s="47">
        <f>'Lançamento Diário'!O47+'Lançamento Diário'!O48</f>
        <v>3</v>
      </c>
      <c r="P33" s="47">
        <f>'Lançamento Diário'!P47+'Lançamento Diário'!P48</f>
        <v>0</v>
      </c>
      <c r="Q33" s="47">
        <f>'Lançamento Diário'!Q47+'Lançamento Diário'!Q48</f>
        <v>3</v>
      </c>
      <c r="R33" s="47">
        <f>'Lançamento Diário'!R47+'Lançamento Diário'!R48</f>
        <v>0</v>
      </c>
      <c r="S33" s="47">
        <f>'Lançamento Diário'!S47+'Lançamento Diário'!S48</f>
        <v>0</v>
      </c>
      <c r="T33" s="47">
        <f>'Lançamento Diário'!T47+'Lançamento Diário'!T48</f>
        <v>2</v>
      </c>
      <c r="U33" s="47">
        <f>'Lançamento Diário'!U47+'Lançamento Diário'!U48</f>
        <v>1</v>
      </c>
      <c r="V33" s="47">
        <f>'Lançamento Diário'!V47+'Lançamento Diário'!V48</f>
        <v>2</v>
      </c>
      <c r="W33" s="47">
        <f>'Lançamento Diário'!W47+'Lançamento Diário'!W48</f>
        <v>0</v>
      </c>
      <c r="X33" s="47">
        <f>'Lançamento Diário'!X47+'Lançamento Diário'!X48</f>
        <v>3</v>
      </c>
      <c r="Y33" s="47">
        <f>'Lançamento Diário'!Y47+'Lançamento Diário'!Y48</f>
        <v>0</v>
      </c>
      <c r="Z33" s="47">
        <f>'Lançamento Diário'!Z47+'Lançamento Diário'!Z48</f>
        <v>0</v>
      </c>
      <c r="AA33" s="47">
        <f>'Lançamento Diário'!AA47+'Lançamento Diário'!AA48</f>
        <v>4</v>
      </c>
      <c r="AB33" s="47">
        <f>'Lançamento Diário'!AB47+'Lançamento Diário'!AB48</f>
        <v>0</v>
      </c>
      <c r="AC33" s="47">
        <f>'Lançamento Diário'!AC47+'Lançamento Diário'!AC48</f>
        <v>3</v>
      </c>
      <c r="AD33" s="47">
        <f>'Lançamento Diário'!AD47+'Lançamento Diário'!AD48</f>
        <v>0</v>
      </c>
      <c r="AE33" s="47">
        <f>'Lançamento Diário'!AE47+'Lançamento Diário'!AE48</f>
        <v>3</v>
      </c>
      <c r="AF33" s="47">
        <f>'Lançamento Diário'!AF47+'Lançamento Diário'!AF48</f>
        <v>0</v>
      </c>
      <c r="AG33" s="47">
        <f>'Lançamento Diário'!AG47+'Lançamento Diário'!AG48</f>
        <v>0</v>
      </c>
    </row>
    <row r="34" spans="2:33" x14ac:dyDescent="0.25">
      <c r="B34" s="50" t="s">
        <v>50</v>
      </c>
      <c r="C34" s="51">
        <f t="shared" ref="C34:AG34" si="4">SUM(C28:C33)</f>
        <v>48</v>
      </c>
      <c r="D34" s="51">
        <f t="shared" si="4"/>
        <v>24</v>
      </c>
      <c r="E34" s="51">
        <f t="shared" si="4"/>
        <v>29</v>
      </c>
      <c r="F34" s="51">
        <f t="shared" si="4"/>
        <v>59</v>
      </c>
      <c r="G34" s="51">
        <f t="shared" si="4"/>
        <v>62</v>
      </c>
      <c r="H34" s="51">
        <f t="shared" si="4"/>
        <v>57</v>
      </c>
      <c r="I34" s="51">
        <f t="shared" si="4"/>
        <v>58</v>
      </c>
      <c r="J34" s="51">
        <f t="shared" si="4"/>
        <v>51</v>
      </c>
      <c r="K34" s="51">
        <f t="shared" si="4"/>
        <v>0</v>
      </c>
      <c r="L34" s="51">
        <f t="shared" si="4"/>
        <v>26</v>
      </c>
      <c r="M34" s="51">
        <f t="shared" si="4"/>
        <v>68</v>
      </c>
      <c r="N34" s="51">
        <f t="shared" si="4"/>
        <v>59</v>
      </c>
      <c r="O34" s="51">
        <f t="shared" si="4"/>
        <v>65</v>
      </c>
      <c r="P34" s="51">
        <f t="shared" si="4"/>
        <v>58</v>
      </c>
      <c r="Q34" s="51">
        <f t="shared" si="4"/>
        <v>43</v>
      </c>
      <c r="R34" s="51">
        <f t="shared" si="4"/>
        <v>0</v>
      </c>
      <c r="S34" s="51">
        <f t="shared" si="4"/>
        <v>31</v>
      </c>
      <c r="T34" s="51">
        <f t="shared" si="4"/>
        <v>56</v>
      </c>
      <c r="U34" s="51">
        <f t="shared" si="4"/>
        <v>59</v>
      </c>
      <c r="V34" s="51">
        <f t="shared" si="4"/>
        <v>57</v>
      </c>
      <c r="W34" s="51">
        <f t="shared" si="4"/>
        <v>50</v>
      </c>
      <c r="X34" s="51">
        <f t="shared" si="4"/>
        <v>55</v>
      </c>
      <c r="Y34" s="51">
        <f t="shared" si="4"/>
        <v>0</v>
      </c>
      <c r="Z34" s="51">
        <f t="shared" si="4"/>
        <v>31</v>
      </c>
      <c r="AA34" s="51">
        <f t="shared" si="4"/>
        <v>56</v>
      </c>
      <c r="AB34" s="51">
        <f t="shared" si="4"/>
        <v>61</v>
      </c>
      <c r="AC34" s="51">
        <f t="shared" si="4"/>
        <v>53</v>
      </c>
      <c r="AD34" s="51">
        <f t="shared" si="4"/>
        <v>51</v>
      </c>
      <c r="AE34" s="51">
        <f t="shared" si="4"/>
        <v>62</v>
      </c>
      <c r="AF34" s="51">
        <f t="shared" si="4"/>
        <v>0</v>
      </c>
      <c r="AG34" s="51">
        <f t="shared" si="4"/>
        <v>30</v>
      </c>
    </row>
    <row r="36" spans="2:33" ht="19.5" customHeight="1" x14ac:dyDescent="0.25">
      <c r="B36" s="95" t="s">
        <v>88</v>
      </c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</row>
    <row r="37" spans="2:33" x14ac:dyDescent="0.25">
      <c r="B37" s="44" t="s">
        <v>24</v>
      </c>
      <c r="C37" s="45">
        <v>1</v>
      </c>
      <c r="D37" s="45">
        <v>2</v>
      </c>
      <c r="E37" s="45">
        <v>3</v>
      </c>
      <c r="F37" s="45">
        <v>4</v>
      </c>
      <c r="G37" s="45">
        <v>5</v>
      </c>
      <c r="H37" s="45">
        <v>6</v>
      </c>
      <c r="I37" s="45">
        <v>7</v>
      </c>
      <c r="J37" s="45">
        <v>8</v>
      </c>
      <c r="K37" s="45">
        <v>9</v>
      </c>
      <c r="L37" s="45">
        <v>10</v>
      </c>
      <c r="M37" s="45">
        <v>11</v>
      </c>
      <c r="N37" s="45">
        <v>12</v>
      </c>
      <c r="O37" s="45">
        <v>13</v>
      </c>
      <c r="P37" s="45">
        <v>14</v>
      </c>
      <c r="Q37" s="45">
        <v>15</v>
      </c>
      <c r="R37" s="45">
        <v>16</v>
      </c>
      <c r="S37" s="45">
        <v>17</v>
      </c>
      <c r="T37" s="45">
        <v>18</v>
      </c>
      <c r="U37" s="45">
        <v>19</v>
      </c>
      <c r="V37" s="45">
        <v>20</v>
      </c>
      <c r="W37" s="45">
        <v>21</v>
      </c>
      <c r="X37" s="45">
        <v>22</v>
      </c>
      <c r="Y37" s="45">
        <v>23</v>
      </c>
      <c r="Z37" s="45">
        <v>24</v>
      </c>
      <c r="AA37" s="45">
        <v>25</v>
      </c>
      <c r="AB37" s="45">
        <v>26</v>
      </c>
      <c r="AC37" s="45">
        <v>27</v>
      </c>
      <c r="AD37" s="45">
        <v>28</v>
      </c>
      <c r="AE37" s="45">
        <v>29</v>
      </c>
      <c r="AF37" s="45">
        <v>30</v>
      </c>
      <c r="AG37" s="45">
        <v>31</v>
      </c>
    </row>
    <row r="38" spans="2:33" ht="15.75" customHeight="1" x14ac:dyDescent="0.25">
      <c r="B38" s="48" t="s">
        <v>34</v>
      </c>
      <c r="C38" s="47">
        <f>'Lançamento Diário'!C9+'Lançamento Diário'!C10</f>
        <v>6</v>
      </c>
      <c r="D38" s="47">
        <f>'Lançamento Diário'!D9+'Lançamento Diário'!D10</f>
        <v>1</v>
      </c>
      <c r="E38" s="47">
        <f>'Lançamento Diário'!E9+'Lançamento Diário'!E10</f>
        <v>10</v>
      </c>
      <c r="F38" s="47">
        <f>'Lançamento Diário'!F9+'Lançamento Diário'!F10</f>
        <v>16</v>
      </c>
      <c r="G38" s="47">
        <f>'Lançamento Diário'!G9+'Lançamento Diário'!G10</f>
        <v>13</v>
      </c>
      <c r="H38" s="47">
        <f>'Lançamento Diário'!H9+'Lançamento Diário'!H10</f>
        <v>12</v>
      </c>
      <c r="I38" s="47">
        <f>'Lançamento Diário'!I9+'Lançamento Diário'!I10</f>
        <v>10</v>
      </c>
      <c r="J38" s="47">
        <f>'Lançamento Diário'!J9+'Lançamento Diário'!J10</f>
        <v>12</v>
      </c>
      <c r="K38" s="47">
        <f>'Lançamento Diário'!K9+'Lançamento Diário'!K10</f>
        <v>0</v>
      </c>
      <c r="L38" s="47">
        <f>'Lançamento Diário'!L9+'Lançamento Diário'!L10</f>
        <v>0</v>
      </c>
      <c r="M38" s="47">
        <f>'Lançamento Diário'!M9+'Lançamento Diário'!M10</f>
        <v>12</v>
      </c>
      <c r="N38" s="47">
        <f>'Lançamento Diário'!N9+'Lançamento Diário'!N10</f>
        <v>8</v>
      </c>
      <c r="O38" s="47">
        <f>'Lançamento Diário'!O9+'Lançamento Diário'!O10</f>
        <v>5</v>
      </c>
      <c r="P38" s="47">
        <f>'Lançamento Diário'!P9+'Lançamento Diário'!P10</f>
        <v>5</v>
      </c>
      <c r="Q38" s="47">
        <f>'Lançamento Diário'!Q9+'Lançamento Diário'!Q10</f>
        <v>5</v>
      </c>
      <c r="R38" s="47">
        <f>'Lançamento Diário'!R9+'Lançamento Diário'!R10</f>
        <v>0</v>
      </c>
      <c r="S38" s="47">
        <f>'Lançamento Diário'!S9+'Lançamento Diário'!S10</f>
        <v>8</v>
      </c>
      <c r="T38" s="47">
        <f>'Lançamento Diário'!T9+'Lançamento Diário'!T10</f>
        <v>5</v>
      </c>
      <c r="U38" s="47">
        <f>'Lançamento Diário'!U9+'Lançamento Diário'!U10</f>
        <v>9</v>
      </c>
      <c r="V38" s="47">
        <f>'Lançamento Diário'!V9+'Lançamento Diário'!V10</f>
        <v>2</v>
      </c>
      <c r="W38" s="47">
        <f>'Lançamento Diário'!W9+'Lançamento Diário'!W10</f>
        <v>5</v>
      </c>
      <c r="X38" s="47">
        <f>'Lançamento Diário'!X9+'Lançamento Diário'!X10</f>
        <v>7</v>
      </c>
      <c r="Y38" s="47">
        <f>'Lançamento Diário'!Y9+'Lançamento Diário'!Y10</f>
        <v>0</v>
      </c>
      <c r="Z38" s="47">
        <f>'Lançamento Diário'!Z9+'Lançamento Diário'!Z10</f>
        <v>13</v>
      </c>
      <c r="AA38" s="47">
        <f>'Lançamento Diário'!AA9+'Lançamento Diário'!AA10</f>
        <v>13</v>
      </c>
      <c r="AB38" s="47">
        <f>'Lançamento Diário'!AB9+'Lançamento Diário'!AB10</f>
        <v>2</v>
      </c>
      <c r="AC38" s="47">
        <f>'Lançamento Diário'!AC9+'Lançamento Diário'!AC10</f>
        <v>3</v>
      </c>
      <c r="AD38" s="47">
        <f>'Lançamento Diário'!AD9+'Lançamento Diário'!AD10</f>
        <v>5</v>
      </c>
      <c r="AE38" s="47">
        <f>'Lançamento Diário'!AE9+'Lançamento Diário'!AE10</f>
        <v>4</v>
      </c>
      <c r="AF38" s="47">
        <f>'Lançamento Diário'!AF9+'Lançamento Diário'!AF10</f>
        <v>0</v>
      </c>
      <c r="AG38" s="47">
        <f>'Lançamento Diário'!AG9+'Lançamento Diário'!AG10</f>
        <v>10</v>
      </c>
    </row>
    <row r="39" spans="2:33" ht="15.75" customHeight="1" x14ac:dyDescent="0.25">
      <c r="B39" s="48" t="s">
        <v>35</v>
      </c>
      <c r="C39" s="47">
        <f>'Lançamento Diário'!C17+'Lançamento Diário'!C18</f>
        <v>1</v>
      </c>
      <c r="D39" s="47">
        <f>'Lançamento Diário'!D17+'Lançamento Diário'!D18</f>
        <v>0</v>
      </c>
      <c r="E39" s="47">
        <f>'Lançamento Diário'!E17+'Lançamento Diário'!E18</f>
        <v>8</v>
      </c>
      <c r="F39" s="47">
        <f>'Lançamento Diário'!F17+'Lançamento Diário'!F18</f>
        <v>10</v>
      </c>
      <c r="G39" s="47">
        <f>'Lançamento Diário'!G17+'Lançamento Diário'!G18</f>
        <v>9</v>
      </c>
      <c r="H39" s="47">
        <f>'Lançamento Diário'!H17+'Lançamento Diário'!H18</f>
        <v>6</v>
      </c>
      <c r="I39" s="47">
        <f>'Lançamento Diário'!I17+'Lançamento Diário'!I18</f>
        <v>13</v>
      </c>
      <c r="J39" s="47">
        <f>'Lançamento Diário'!J17+'Lançamento Diário'!J18</f>
        <v>4</v>
      </c>
      <c r="K39" s="47">
        <f>'Lançamento Diário'!K17+'Lançamento Diário'!K18</f>
        <v>0</v>
      </c>
      <c r="L39" s="47">
        <f>'Lançamento Diário'!L17+'Lançamento Diário'!L18</f>
        <v>3</v>
      </c>
      <c r="M39" s="47">
        <f>'Lançamento Diário'!M17+'Lançamento Diário'!M18</f>
        <v>8</v>
      </c>
      <c r="N39" s="47">
        <f>'Lançamento Diário'!N17+'Lançamento Diário'!N18</f>
        <v>8</v>
      </c>
      <c r="O39" s="47">
        <f>'Lançamento Diário'!O17+'Lançamento Diário'!O18</f>
        <v>1</v>
      </c>
      <c r="P39" s="47">
        <f>'Lançamento Diário'!P17+'Lançamento Diário'!P18</f>
        <v>3</v>
      </c>
      <c r="Q39" s="47">
        <f>'Lançamento Diário'!Q17+'Lançamento Diário'!Q18</f>
        <v>6</v>
      </c>
      <c r="R39" s="47">
        <f>'Lançamento Diário'!R17+'Lançamento Diário'!R18</f>
        <v>0</v>
      </c>
      <c r="S39" s="47">
        <f>'Lançamento Diário'!S17+'Lançamento Diário'!S18</f>
        <v>6</v>
      </c>
      <c r="T39" s="47">
        <f>'Lançamento Diário'!T17+'Lançamento Diário'!T18</f>
        <v>11</v>
      </c>
      <c r="U39" s="47">
        <f>'Lançamento Diário'!U17+'Lançamento Diário'!U18</f>
        <v>9</v>
      </c>
      <c r="V39" s="47">
        <f>'Lançamento Diário'!V17+'Lançamento Diário'!V18</f>
        <v>5</v>
      </c>
      <c r="W39" s="47">
        <f>'Lançamento Diário'!W17+'Lançamento Diário'!W18</f>
        <v>5</v>
      </c>
      <c r="X39" s="47">
        <f>'Lançamento Diário'!X17+'Lançamento Diário'!X18</f>
        <v>3</v>
      </c>
      <c r="Y39" s="47">
        <f>'Lançamento Diário'!Y17+'Lançamento Diário'!Y18</f>
        <v>0</v>
      </c>
      <c r="Z39" s="47">
        <f>'Lançamento Diário'!Z17+'Lançamento Diário'!Z18</f>
        <v>4</v>
      </c>
      <c r="AA39" s="47">
        <f>'Lançamento Diário'!AA17+'Lançamento Diário'!AA18</f>
        <v>7</v>
      </c>
      <c r="AB39" s="47">
        <f>'Lançamento Diário'!AB17+'Lançamento Diário'!AB18</f>
        <v>9</v>
      </c>
      <c r="AC39" s="47">
        <f>'Lançamento Diário'!AC17+'Lançamento Diário'!AC18</f>
        <v>9</v>
      </c>
      <c r="AD39" s="47">
        <f>'Lançamento Diário'!AD17+'Lançamento Diário'!AD18</f>
        <v>7</v>
      </c>
      <c r="AE39" s="47">
        <f>'Lançamento Diário'!AE17+'Lançamento Diário'!AE18</f>
        <v>3</v>
      </c>
      <c r="AF39" s="47">
        <f>'Lançamento Diário'!AF17+'Lançamento Diário'!AF18</f>
        <v>0</v>
      </c>
      <c r="AG39" s="47">
        <f>'Lançamento Diário'!AG17+'Lançamento Diário'!AG18</f>
        <v>6</v>
      </c>
    </row>
    <row r="40" spans="2:33" ht="15.75" customHeight="1" x14ac:dyDescent="0.25">
      <c r="B40" s="48" t="s">
        <v>36</v>
      </c>
      <c r="C40" s="47">
        <f>'Lançamento Diário'!C25+'Lançamento Diário'!C26</f>
        <v>0</v>
      </c>
      <c r="D40" s="47">
        <f>'Lançamento Diário'!D25+'Lançamento Diário'!D26</f>
        <v>0</v>
      </c>
      <c r="E40" s="47">
        <f>'Lançamento Diário'!E25+'Lançamento Diário'!E26</f>
        <v>3</v>
      </c>
      <c r="F40" s="47">
        <f>'Lançamento Diário'!F25+'Lançamento Diário'!F26</f>
        <v>4</v>
      </c>
      <c r="G40" s="47">
        <f>'Lançamento Diário'!G25+'Lançamento Diário'!G26</f>
        <v>6</v>
      </c>
      <c r="H40" s="47">
        <f>'Lançamento Diário'!H25+'Lançamento Diário'!H26</f>
        <v>6</v>
      </c>
      <c r="I40" s="47">
        <f>'Lançamento Diário'!I25+'Lançamento Diário'!I26</f>
        <v>4</v>
      </c>
      <c r="J40" s="47">
        <f>'Lançamento Diário'!J25+'Lançamento Diário'!J26</f>
        <v>2</v>
      </c>
      <c r="K40" s="47">
        <f>'Lançamento Diário'!K25+'Lançamento Diário'!K26</f>
        <v>0</v>
      </c>
      <c r="L40" s="47">
        <f>'Lançamento Diário'!L25+'Lançamento Diário'!L26</f>
        <v>4</v>
      </c>
      <c r="M40" s="47">
        <f>'Lançamento Diário'!M25+'Lançamento Diário'!M26</f>
        <v>4</v>
      </c>
      <c r="N40" s="47">
        <f>'Lançamento Diário'!N25+'Lançamento Diário'!N26</f>
        <v>8</v>
      </c>
      <c r="O40" s="47">
        <f>'Lançamento Diário'!O25+'Lançamento Diário'!O26</f>
        <v>5</v>
      </c>
      <c r="P40" s="47">
        <f>'Lançamento Diário'!P25+'Lançamento Diário'!P26</f>
        <v>7</v>
      </c>
      <c r="Q40" s="47">
        <f>'Lançamento Diário'!Q25+'Lançamento Diário'!Q26</f>
        <v>0</v>
      </c>
      <c r="R40" s="47">
        <f>'Lançamento Diário'!R25+'Lançamento Diário'!R26</f>
        <v>0</v>
      </c>
      <c r="S40" s="47">
        <f>'Lançamento Diário'!S25+'Lançamento Diário'!S26</f>
        <v>2</v>
      </c>
      <c r="T40" s="47">
        <f>'Lançamento Diário'!T25+'Lançamento Diário'!T26</f>
        <v>10</v>
      </c>
      <c r="U40" s="47">
        <f>'Lançamento Diário'!U25+'Lançamento Diário'!U26</f>
        <v>5</v>
      </c>
      <c r="V40" s="47">
        <f>'Lançamento Diário'!V25+'Lançamento Diário'!V26</f>
        <v>3</v>
      </c>
      <c r="W40" s="47">
        <f>'Lançamento Diário'!W25+'Lançamento Diário'!W26</f>
        <v>5</v>
      </c>
      <c r="X40" s="47">
        <f>'Lançamento Diário'!X25+'Lançamento Diário'!X26</f>
        <v>1</v>
      </c>
      <c r="Y40" s="47">
        <f>'Lançamento Diário'!Y25+'Lançamento Diário'!Y26</f>
        <v>0</v>
      </c>
      <c r="Z40" s="47">
        <f>'Lançamento Diário'!Z25+'Lançamento Diário'!Z26</f>
        <v>4</v>
      </c>
      <c r="AA40" s="47">
        <f>'Lançamento Diário'!AA25+'Lançamento Diário'!AA26</f>
        <v>6</v>
      </c>
      <c r="AB40" s="47">
        <f>'Lançamento Diário'!AB25+'Lançamento Diário'!AB26</f>
        <v>4</v>
      </c>
      <c r="AC40" s="47">
        <f>'Lançamento Diário'!AC25+'Lançamento Diário'!AC26</f>
        <v>6</v>
      </c>
      <c r="AD40" s="47">
        <f>'Lançamento Diário'!AD25+'Lançamento Diário'!AD26</f>
        <v>2</v>
      </c>
      <c r="AE40" s="47">
        <f>'Lançamento Diário'!AE25+'Lançamento Diário'!AE26</f>
        <v>2</v>
      </c>
      <c r="AF40" s="47">
        <f>'Lançamento Diário'!AF25+'Lançamento Diário'!AF26</f>
        <v>0</v>
      </c>
      <c r="AG40" s="47">
        <f>'Lançamento Diário'!AG25+'Lançamento Diário'!AG26</f>
        <v>3</v>
      </c>
    </row>
    <row r="41" spans="2:33" ht="15.75" customHeight="1" x14ac:dyDescent="0.25">
      <c r="B41" s="48" t="s">
        <v>37</v>
      </c>
      <c r="C41" s="47">
        <f>'Lançamento Diário'!C33+'Lançamento Diário'!C34</f>
        <v>1</v>
      </c>
      <c r="D41" s="47">
        <f>'Lançamento Diário'!D33+'Lançamento Diário'!D34</f>
        <v>2</v>
      </c>
      <c r="E41" s="47">
        <f>'Lançamento Diário'!E33+'Lançamento Diário'!E34</f>
        <v>11</v>
      </c>
      <c r="F41" s="47">
        <f>'Lançamento Diário'!F33+'Lançamento Diário'!F34</f>
        <v>10</v>
      </c>
      <c r="G41" s="47">
        <f>'Lançamento Diário'!G33+'Lançamento Diário'!G34</f>
        <v>10</v>
      </c>
      <c r="H41" s="47">
        <f>'Lançamento Diário'!H33+'Lançamento Diário'!H34</f>
        <v>13</v>
      </c>
      <c r="I41" s="47">
        <f>'Lançamento Diário'!I33+'Lançamento Diário'!I34</f>
        <v>12</v>
      </c>
      <c r="J41" s="47">
        <f>'Lançamento Diário'!J33+'Lançamento Diário'!J34</f>
        <v>5</v>
      </c>
      <c r="K41" s="47">
        <f>'Lançamento Diário'!K33+'Lançamento Diário'!K34</f>
        <v>0</v>
      </c>
      <c r="L41" s="47">
        <f>'Lançamento Diário'!L33+'Lançamento Diário'!L34</f>
        <v>8</v>
      </c>
      <c r="M41" s="47">
        <f>'Lançamento Diário'!M33+'Lançamento Diário'!M34</f>
        <v>5</v>
      </c>
      <c r="N41" s="47">
        <f>'Lançamento Diário'!N33+'Lançamento Diário'!N34</f>
        <v>9</v>
      </c>
      <c r="O41" s="47">
        <f>'Lançamento Diário'!O33+'Lançamento Diário'!O34</f>
        <v>5</v>
      </c>
      <c r="P41" s="47">
        <f>'Lançamento Diário'!P33+'Lançamento Diário'!P34</f>
        <v>8</v>
      </c>
      <c r="Q41" s="47">
        <f>'Lançamento Diário'!Q33+'Lançamento Diário'!Q34</f>
        <v>2</v>
      </c>
      <c r="R41" s="47">
        <f>'Lançamento Diário'!R33+'Lançamento Diário'!R34</f>
        <v>0</v>
      </c>
      <c r="S41" s="47">
        <f>'Lançamento Diário'!S33+'Lançamento Diário'!S34</f>
        <v>9</v>
      </c>
      <c r="T41" s="47">
        <f>'Lançamento Diário'!T33+'Lançamento Diário'!T34</f>
        <v>6</v>
      </c>
      <c r="U41" s="47">
        <f>'Lançamento Diário'!U33+'Lançamento Diário'!U34</f>
        <v>3</v>
      </c>
      <c r="V41" s="47">
        <f>'Lançamento Diário'!V33+'Lançamento Diário'!V34</f>
        <v>6</v>
      </c>
      <c r="W41" s="47">
        <f>'Lançamento Diário'!W33+'Lançamento Diário'!W34</f>
        <v>6</v>
      </c>
      <c r="X41" s="47">
        <f>'Lançamento Diário'!X33+'Lançamento Diário'!X34</f>
        <v>7</v>
      </c>
      <c r="Y41" s="47">
        <f>'Lançamento Diário'!Y33+'Lançamento Diário'!Y34</f>
        <v>0</v>
      </c>
      <c r="Z41" s="47">
        <f>'Lançamento Diário'!Z33+'Lançamento Diário'!Z34</f>
        <v>10</v>
      </c>
      <c r="AA41" s="47">
        <f>'Lançamento Diário'!AA33+'Lançamento Diário'!AA34</f>
        <v>5</v>
      </c>
      <c r="AB41" s="47">
        <f>'Lançamento Diário'!AB33+'Lançamento Diário'!AB34</f>
        <v>1</v>
      </c>
      <c r="AC41" s="47">
        <f>'Lançamento Diário'!AC33+'Lançamento Diário'!AC34</f>
        <v>3</v>
      </c>
      <c r="AD41" s="47">
        <f>'Lançamento Diário'!AD33+'Lançamento Diário'!AD34</f>
        <v>4</v>
      </c>
      <c r="AE41" s="47">
        <f>'Lançamento Diário'!AE33+'Lançamento Diário'!AE34</f>
        <v>3</v>
      </c>
      <c r="AF41" s="47">
        <f>'Lançamento Diário'!AF33+'Lançamento Diário'!AF34</f>
        <v>0</v>
      </c>
      <c r="AG41" s="47">
        <f>'Lançamento Diário'!AG33+'Lançamento Diário'!AG34</f>
        <v>10</v>
      </c>
    </row>
    <row r="42" spans="2:33" ht="15.75" customHeight="1" x14ac:dyDescent="0.25">
      <c r="B42" s="48" t="s">
        <v>38</v>
      </c>
      <c r="C42" s="47">
        <f>'Lançamento Diário'!C41+'Lançamento Diário'!C42</f>
        <v>4</v>
      </c>
      <c r="D42" s="47">
        <f>'Lançamento Diário'!D41+'Lançamento Diário'!D42</f>
        <v>0</v>
      </c>
      <c r="E42" s="47">
        <f>'Lançamento Diário'!E41+'Lançamento Diário'!E42</f>
        <v>14</v>
      </c>
      <c r="F42" s="47">
        <f>'Lançamento Diário'!F41+'Lançamento Diário'!F42</f>
        <v>8</v>
      </c>
      <c r="G42" s="47">
        <f>'Lançamento Diário'!G41+'Lançamento Diário'!G42</f>
        <v>12</v>
      </c>
      <c r="H42" s="47">
        <f>'Lançamento Diário'!H41+'Lançamento Diário'!H42</f>
        <v>9</v>
      </c>
      <c r="I42" s="47">
        <f>'Lançamento Diário'!I41+'Lançamento Diário'!I42</f>
        <v>12</v>
      </c>
      <c r="J42" s="47">
        <f>'Lançamento Diário'!J41+'Lançamento Diário'!J42</f>
        <v>7</v>
      </c>
      <c r="K42" s="47">
        <f>'Lançamento Diário'!K41+'Lançamento Diário'!K42</f>
        <v>0</v>
      </c>
      <c r="L42" s="47">
        <f>'Lançamento Diário'!L41+'Lançamento Diário'!L42</f>
        <v>6</v>
      </c>
      <c r="M42" s="47">
        <f>'Lançamento Diário'!M41+'Lançamento Diário'!M42</f>
        <v>4</v>
      </c>
      <c r="N42" s="47">
        <f>'Lançamento Diário'!N41+'Lançamento Diário'!N42</f>
        <v>5</v>
      </c>
      <c r="O42" s="47">
        <f>'Lançamento Diário'!O41+'Lançamento Diário'!O42</f>
        <v>2</v>
      </c>
      <c r="P42" s="47">
        <f>'Lançamento Diário'!P41+'Lançamento Diário'!P42</f>
        <v>9</v>
      </c>
      <c r="Q42" s="47">
        <f>'Lançamento Diário'!Q41+'Lançamento Diário'!Q42</f>
        <v>0</v>
      </c>
      <c r="R42" s="47">
        <f>'Lançamento Diário'!R41+'Lançamento Diário'!R42</f>
        <v>0</v>
      </c>
      <c r="S42" s="47">
        <f>'Lançamento Diário'!S41+'Lançamento Diário'!S42</f>
        <v>7</v>
      </c>
      <c r="T42" s="47">
        <f>'Lançamento Diário'!T41+'Lançamento Diário'!T42</f>
        <v>7</v>
      </c>
      <c r="U42" s="47">
        <f>'Lançamento Diário'!U41+'Lançamento Diário'!U42</f>
        <v>3</v>
      </c>
      <c r="V42" s="47">
        <f>'Lançamento Diário'!V41+'Lançamento Diário'!V42</f>
        <v>4</v>
      </c>
      <c r="W42" s="47">
        <f>'Lançamento Diário'!W41+'Lançamento Diário'!W42</f>
        <v>9</v>
      </c>
      <c r="X42" s="47">
        <f>'Lançamento Diário'!X41+'Lançamento Diário'!X42</f>
        <v>1</v>
      </c>
      <c r="Y42" s="47">
        <f>'Lançamento Diário'!Y41+'Lançamento Diário'!Y42</f>
        <v>0</v>
      </c>
      <c r="Z42" s="47">
        <f>'Lançamento Diário'!Z41+'Lançamento Diário'!Z42</f>
        <v>12</v>
      </c>
      <c r="AA42" s="47">
        <f>'Lançamento Diário'!AA41+'Lançamento Diário'!AA42</f>
        <v>7</v>
      </c>
      <c r="AB42" s="47">
        <f>'Lançamento Diário'!AB41+'Lançamento Diário'!AB42</f>
        <v>9</v>
      </c>
      <c r="AC42" s="47">
        <f>'Lançamento Diário'!AC41+'Lançamento Diário'!AC42</f>
        <v>0</v>
      </c>
      <c r="AD42" s="47">
        <f>'Lançamento Diário'!AD41+'Lançamento Diário'!AD42</f>
        <v>4</v>
      </c>
      <c r="AE42" s="47">
        <f>'Lançamento Diário'!AE41+'Lançamento Diário'!AE42</f>
        <v>2</v>
      </c>
      <c r="AF42" s="47">
        <f>'Lançamento Diário'!AF41+'Lançamento Diário'!AF42</f>
        <v>0</v>
      </c>
      <c r="AG42" s="47">
        <f>'Lançamento Diário'!AG41+'Lançamento Diário'!AG42</f>
        <v>14</v>
      </c>
    </row>
    <row r="43" spans="2:33" ht="15.75" customHeight="1" x14ac:dyDescent="0.25">
      <c r="B43" s="48" t="s">
        <v>39</v>
      </c>
      <c r="C43" s="47">
        <f>'Lançamento Diário'!C49+'Lançamento Diário'!C50</f>
        <v>3</v>
      </c>
      <c r="D43" s="47">
        <f>'Lançamento Diário'!D49+'Lançamento Diário'!D50</f>
        <v>0</v>
      </c>
      <c r="E43" s="47">
        <f>'Lançamento Diário'!E49+'Lançamento Diário'!E50</f>
        <v>5</v>
      </c>
      <c r="F43" s="47">
        <f>'Lançamento Diário'!F49+'Lançamento Diário'!F50</f>
        <v>3</v>
      </c>
      <c r="G43" s="47">
        <f>'Lançamento Diário'!G49+'Lançamento Diário'!G50</f>
        <v>2</v>
      </c>
      <c r="H43" s="47">
        <f>'Lançamento Diário'!H49+'Lançamento Diário'!H50</f>
        <v>2</v>
      </c>
      <c r="I43" s="47">
        <f>'Lançamento Diário'!I49+'Lançamento Diário'!I50</f>
        <v>5</v>
      </c>
      <c r="J43" s="47">
        <f>'Lançamento Diário'!J49+'Lançamento Diário'!J50</f>
        <v>0</v>
      </c>
      <c r="K43" s="47">
        <f>'Lançamento Diário'!K49+'Lançamento Diário'!K50</f>
        <v>0</v>
      </c>
      <c r="L43" s="47">
        <f>'Lançamento Diário'!L49+'Lançamento Diário'!L50</f>
        <v>1</v>
      </c>
      <c r="M43" s="47">
        <f>'Lançamento Diário'!M49+'Lançamento Diário'!M50</f>
        <v>0</v>
      </c>
      <c r="N43" s="47">
        <f>'Lançamento Diário'!N49+'Lançamento Diário'!N50</f>
        <v>1</v>
      </c>
      <c r="O43" s="47">
        <f>'Lançamento Diário'!O49+'Lançamento Diário'!O50</f>
        <v>3</v>
      </c>
      <c r="P43" s="47">
        <f>'Lançamento Diário'!P49+'Lançamento Diário'!P50</f>
        <v>3</v>
      </c>
      <c r="Q43" s="47">
        <f>'Lançamento Diário'!Q49+'Lançamento Diário'!Q50</f>
        <v>1</v>
      </c>
      <c r="R43" s="47">
        <f>'Lançamento Diário'!R49+'Lançamento Diário'!R50</f>
        <v>0</v>
      </c>
      <c r="S43" s="47">
        <f>'Lançamento Diário'!S49+'Lançamento Diário'!S50</f>
        <v>2</v>
      </c>
      <c r="T43" s="47">
        <f>'Lançamento Diário'!T49+'Lançamento Diário'!T50</f>
        <v>4</v>
      </c>
      <c r="U43" s="47">
        <f>'Lançamento Diário'!U49+'Lançamento Diário'!U50</f>
        <v>1</v>
      </c>
      <c r="V43" s="47">
        <f>'Lançamento Diário'!V49+'Lançamento Diário'!V50</f>
        <v>1</v>
      </c>
      <c r="W43" s="47">
        <f>'Lançamento Diário'!W49+'Lançamento Diário'!W50</f>
        <v>3</v>
      </c>
      <c r="X43" s="47">
        <f>'Lançamento Diário'!X49+'Lançamento Diário'!X50</f>
        <v>2</v>
      </c>
      <c r="Y43" s="47">
        <f>'Lançamento Diário'!Y49+'Lançamento Diário'!Y50</f>
        <v>0</v>
      </c>
      <c r="Z43" s="47">
        <f>'Lançamento Diário'!Z49+'Lançamento Diário'!Z50</f>
        <v>5</v>
      </c>
      <c r="AA43" s="47">
        <f>'Lançamento Diário'!AA49+'Lançamento Diário'!AA50</f>
        <v>3</v>
      </c>
      <c r="AB43" s="47">
        <f>'Lançamento Diário'!AB49+'Lançamento Diário'!AB50</f>
        <v>2</v>
      </c>
      <c r="AC43" s="47">
        <f>'Lançamento Diário'!AC49+'Lançamento Diário'!AC50</f>
        <v>2</v>
      </c>
      <c r="AD43" s="47">
        <f>'Lançamento Diário'!AD49+'Lançamento Diário'!AD50</f>
        <v>3</v>
      </c>
      <c r="AE43" s="47">
        <f>'Lançamento Diário'!AE49+'Lançamento Diário'!AE50</f>
        <v>2</v>
      </c>
      <c r="AF43" s="47">
        <f>'Lançamento Diário'!AF49+'Lançamento Diário'!AF50</f>
        <v>0</v>
      </c>
      <c r="AG43" s="47">
        <f>'Lançamento Diário'!AG49+'Lançamento Diário'!AG50</f>
        <v>0</v>
      </c>
    </row>
    <row r="44" spans="2:33" x14ac:dyDescent="0.25">
      <c r="B44" s="50" t="s">
        <v>50</v>
      </c>
      <c r="C44" s="51">
        <f t="shared" ref="C44:AG44" si="5">SUM(C38:C43)</f>
        <v>15</v>
      </c>
      <c r="D44" s="51">
        <f t="shared" si="5"/>
        <v>3</v>
      </c>
      <c r="E44" s="51">
        <f t="shared" si="5"/>
        <v>51</v>
      </c>
      <c r="F44" s="51">
        <f t="shared" si="5"/>
        <v>51</v>
      </c>
      <c r="G44" s="51">
        <f t="shared" si="5"/>
        <v>52</v>
      </c>
      <c r="H44" s="51">
        <f t="shared" si="5"/>
        <v>48</v>
      </c>
      <c r="I44" s="51">
        <f t="shared" si="5"/>
        <v>56</v>
      </c>
      <c r="J44" s="51">
        <f t="shared" si="5"/>
        <v>30</v>
      </c>
      <c r="K44" s="51">
        <f t="shared" si="5"/>
        <v>0</v>
      </c>
      <c r="L44" s="51">
        <f t="shared" si="5"/>
        <v>22</v>
      </c>
      <c r="M44" s="51">
        <f t="shared" si="5"/>
        <v>33</v>
      </c>
      <c r="N44" s="51">
        <f t="shared" si="5"/>
        <v>39</v>
      </c>
      <c r="O44" s="51">
        <f t="shared" si="5"/>
        <v>21</v>
      </c>
      <c r="P44" s="51">
        <f t="shared" si="5"/>
        <v>35</v>
      </c>
      <c r="Q44" s="51">
        <f t="shared" si="5"/>
        <v>14</v>
      </c>
      <c r="R44" s="51">
        <f t="shared" si="5"/>
        <v>0</v>
      </c>
      <c r="S44" s="51">
        <f t="shared" si="5"/>
        <v>34</v>
      </c>
      <c r="T44" s="51">
        <f t="shared" si="5"/>
        <v>43</v>
      </c>
      <c r="U44" s="51">
        <f t="shared" si="5"/>
        <v>30</v>
      </c>
      <c r="V44" s="51">
        <f t="shared" si="5"/>
        <v>21</v>
      </c>
      <c r="W44" s="51">
        <f t="shared" si="5"/>
        <v>33</v>
      </c>
      <c r="X44" s="51">
        <f t="shared" si="5"/>
        <v>21</v>
      </c>
      <c r="Y44" s="51">
        <f t="shared" si="5"/>
        <v>0</v>
      </c>
      <c r="Z44" s="51">
        <f t="shared" si="5"/>
        <v>48</v>
      </c>
      <c r="AA44" s="51">
        <f t="shared" si="5"/>
        <v>41</v>
      </c>
      <c r="AB44" s="51">
        <f t="shared" si="5"/>
        <v>27</v>
      </c>
      <c r="AC44" s="51">
        <f t="shared" si="5"/>
        <v>23</v>
      </c>
      <c r="AD44" s="51">
        <f t="shared" si="5"/>
        <v>25</v>
      </c>
      <c r="AE44" s="51">
        <f t="shared" si="5"/>
        <v>16</v>
      </c>
      <c r="AF44" s="51">
        <f t="shared" si="5"/>
        <v>0</v>
      </c>
      <c r="AG44" s="51">
        <f t="shared" si="5"/>
        <v>43</v>
      </c>
    </row>
  </sheetData>
  <mergeCells count="6">
    <mergeCell ref="B36:AG36"/>
    <mergeCell ref="B1:AG1"/>
    <mergeCell ref="B2:AG2"/>
    <mergeCell ref="B4:AG4"/>
    <mergeCell ref="B16:AG16"/>
    <mergeCell ref="B26:AG26"/>
  </mergeCells>
  <conditionalFormatting sqref="C18:AG23">
    <cfRule type="colorScale" priority="2">
      <colorScale>
        <cfvo type="num" val="0"/>
        <cfvo type="percentile" val="50"/>
        <cfvo type="max"/>
        <color rgb="FFFFFFFF"/>
        <color rgb="FFCFE3F7"/>
        <color rgb="FF2E5C8A"/>
      </colorScale>
    </cfRule>
  </conditionalFormatting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J66"/>
  <sheetViews>
    <sheetView showGridLines="0" zoomScaleNormal="100" workbookViewId="0">
      <pane xSplit="2" ySplit="5" topLeftCell="I35" activePane="bottomRight" state="frozen"/>
      <selection pane="topRight" activeCell="C1" sqref="C1"/>
      <selection pane="bottomLeft" activeCell="A6" sqref="A6"/>
      <selection pane="bottomRight" activeCell="I17" sqref="I17"/>
    </sheetView>
  </sheetViews>
  <sheetFormatPr defaultColWidth="8.7109375" defaultRowHeight="15" x14ac:dyDescent="0.25"/>
  <cols>
    <col min="1" max="1" width="2" customWidth="1"/>
    <col min="2" max="2" width="28" customWidth="1"/>
    <col min="3" max="33" width="4.28515625" customWidth="1"/>
    <col min="34" max="34" width="10" customWidth="1"/>
    <col min="35" max="35" width="9" customWidth="1"/>
    <col min="36" max="36" width="11" customWidth="1"/>
  </cols>
  <sheetData>
    <row r="1" spans="2:36" ht="30" customHeight="1" x14ac:dyDescent="0.25">
      <c r="B1" s="99" t="s">
        <v>89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</row>
    <row r="2" spans="2:36" ht="15.75" customHeight="1" x14ac:dyDescent="0.25">
      <c r="B2" s="100" t="s">
        <v>90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4" spans="2:36" ht="15" customHeight="1" x14ac:dyDescent="0.25">
      <c r="B4" s="44" t="s">
        <v>91</v>
      </c>
      <c r="C4" s="52">
        <v>46235</v>
      </c>
      <c r="D4" s="52">
        <v>46236</v>
      </c>
      <c r="E4" s="53">
        <v>46237</v>
      </c>
      <c r="F4" s="53">
        <v>46238</v>
      </c>
      <c r="G4" s="53">
        <v>46239</v>
      </c>
      <c r="H4" s="53">
        <v>46240</v>
      </c>
      <c r="I4" s="53">
        <v>46241</v>
      </c>
      <c r="J4" s="52">
        <v>46242</v>
      </c>
      <c r="K4" s="52">
        <v>46243</v>
      </c>
      <c r="L4" s="53">
        <v>46244</v>
      </c>
      <c r="M4" s="53">
        <v>46245</v>
      </c>
      <c r="N4" s="53">
        <v>46246</v>
      </c>
      <c r="O4" s="53">
        <v>46247</v>
      </c>
      <c r="P4" s="53">
        <v>46248</v>
      </c>
      <c r="Q4" s="52">
        <v>46249</v>
      </c>
      <c r="R4" s="52">
        <v>46250</v>
      </c>
      <c r="S4" s="53">
        <v>46251</v>
      </c>
      <c r="T4" s="53">
        <v>46252</v>
      </c>
      <c r="U4" s="53">
        <v>46253</v>
      </c>
      <c r="V4" s="53">
        <v>46254</v>
      </c>
      <c r="W4" s="53">
        <v>46255</v>
      </c>
      <c r="X4" s="52">
        <v>46256</v>
      </c>
      <c r="Y4" s="52">
        <v>46257</v>
      </c>
      <c r="Z4" s="53">
        <v>46258</v>
      </c>
      <c r="AA4" s="53">
        <v>46259</v>
      </c>
      <c r="AB4" s="53">
        <v>46260</v>
      </c>
      <c r="AC4" s="53">
        <v>46261</v>
      </c>
      <c r="AD4" s="53">
        <v>46262</v>
      </c>
      <c r="AE4" s="52">
        <v>46263</v>
      </c>
      <c r="AF4" s="52">
        <v>46264</v>
      </c>
      <c r="AG4" s="53">
        <v>46265</v>
      </c>
      <c r="AH4" s="110" t="s">
        <v>92</v>
      </c>
      <c r="AI4" s="110" t="s">
        <v>93</v>
      </c>
      <c r="AJ4" s="110" t="s">
        <v>94</v>
      </c>
    </row>
    <row r="5" spans="2:36" x14ac:dyDescent="0.25">
      <c r="B5" s="44" t="s">
        <v>95</v>
      </c>
      <c r="C5" s="54" t="s">
        <v>96</v>
      </c>
      <c r="D5" s="54" t="s">
        <v>97</v>
      </c>
      <c r="E5" s="55" t="s">
        <v>98</v>
      </c>
      <c r="F5" s="55" t="s">
        <v>99</v>
      </c>
      <c r="G5" s="55" t="s">
        <v>100</v>
      </c>
      <c r="H5" s="55" t="s">
        <v>101</v>
      </c>
      <c r="I5" s="55" t="s">
        <v>102</v>
      </c>
      <c r="J5" s="54" t="s">
        <v>96</v>
      </c>
      <c r="K5" s="54" t="s">
        <v>97</v>
      </c>
      <c r="L5" s="55" t="s">
        <v>98</v>
      </c>
      <c r="M5" s="55" t="s">
        <v>99</v>
      </c>
      <c r="N5" s="55" t="s">
        <v>100</v>
      </c>
      <c r="O5" s="55" t="s">
        <v>101</v>
      </c>
      <c r="P5" s="55" t="s">
        <v>102</v>
      </c>
      <c r="Q5" s="54" t="s">
        <v>96</v>
      </c>
      <c r="R5" s="54" t="s">
        <v>97</v>
      </c>
      <c r="S5" s="55" t="s">
        <v>98</v>
      </c>
      <c r="T5" s="55" t="s">
        <v>99</v>
      </c>
      <c r="U5" s="55" t="s">
        <v>100</v>
      </c>
      <c r="V5" s="55" t="s">
        <v>101</v>
      </c>
      <c r="W5" s="55" t="s">
        <v>102</v>
      </c>
      <c r="X5" s="54" t="s">
        <v>96</v>
      </c>
      <c r="Y5" s="54" t="s">
        <v>97</v>
      </c>
      <c r="Z5" s="55" t="s">
        <v>98</v>
      </c>
      <c r="AA5" s="55" t="s">
        <v>99</v>
      </c>
      <c r="AB5" s="55" t="s">
        <v>100</v>
      </c>
      <c r="AC5" s="55" t="s">
        <v>101</v>
      </c>
      <c r="AD5" s="55" t="s">
        <v>102</v>
      </c>
      <c r="AE5" s="54" t="s">
        <v>96</v>
      </c>
      <c r="AF5" s="54" t="s">
        <v>97</v>
      </c>
      <c r="AG5" s="55" t="s">
        <v>98</v>
      </c>
      <c r="AH5" s="110"/>
      <c r="AI5" s="110"/>
      <c r="AJ5" s="110"/>
    </row>
    <row r="6" spans="2:36" ht="25.5" customHeight="1" x14ac:dyDescent="0.25">
      <c r="B6" s="111" t="s">
        <v>103</v>
      </c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</row>
    <row r="7" spans="2:36" ht="15.75" customHeight="1" x14ac:dyDescent="0.25">
      <c r="B7" s="56" t="s">
        <v>45</v>
      </c>
      <c r="C7" s="57">
        <v>15</v>
      </c>
      <c r="D7" s="57">
        <v>9</v>
      </c>
      <c r="E7" s="57">
        <v>12</v>
      </c>
      <c r="F7" s="57">
        <v>17</v>
      </c>
      <c r="G7" s="57">
        <v>20</v>
      </c>
      <c r="H7" s="57">
        <v>14</v>
      </c>
      <c r="I7" s="57">
        <v>17</v>
      </c>
      <c r="J7" s="57">
        <v>20</v>
      </c>
      <c r="K7" s="57">
        <v>0</v>
      </c>
      <c r="L7" s="57">
        <v>0</v>
      </c>
      <c r="M7" s="57">
        <v>16</v>
      </c>
      <c r="N7" s="57">
        <v>19</v>
      </c>
      <c r="O7" s="57">
        <v>16</v>
      </c>
      <c r="P7" s="57">
        <v>20</v>
      </c>
      <c r="Q7" s="57">
        <v>11</v>
      </c>
      <c r="R7" s="57">
        <v>0</v>
      </c>
      <c r="S7" s="57">
        <v>8</v>
      </c>
      <c r="T7" s="57">
        <v>15</v>
      </c>
      <c r="U7" s="57">
        <v>16</v>
      </c>
      <c r="V7" s="57">
        <v>16</v>
      </c>
      <c r="W7" s="57">
        <v>19</v>
      </c>
      <c r="X7" s="57">
        <v>15</v>
      </c>
      <c r="Y7" s="57">
        <v>0</v>
      </c>
      <c r="Z7" s="57">
        <v>13</v>
      </c>
      <c r="AA7" s="57">
        <v>10</v>
      </c>
      <c r="AB7" s="57">
        <v>22</v>
      </c>
      <c r="AC7" s="57">
        <v>16</v>
      </c>
      <c r="AD7" s="57">
        <v>16</v>
      </c>
      <c r="AE7" s="57">
        <v>15</v>
      </c>
      <c r="AF7" s="57">
        <v>0</v>
      </c>
      <c r="AG7" s="57">
        <v>2</v>
      </c>
      <c r="AH7" s="58">
        <f>SUM(C7:AG7)</f>
        <v>389</v>
      </c>
      <c r="AI7" s="59">
        <f>IFERROR(AH7/$AH$12,0)</f>
        <v>0.55099150141643061</v>
      </c>
      <c r="AJ7" s="60">
        <f>IFERROR(AH7/COUNTIF($C$12:$AG$12,"&gt;0"),0)</f>
        <v>14.961538461538462</v>
      </c>
    </row>
    <row r="8" spans="2:36" ht="15.75" customHeight="1" x14ac:dyDescent="0.25">
      <c r="B8" s="56" t="s">
        <v>46</v>
      </c>
      <c r="C8" s="57">
        <v>2</v>
      </c>
      <c r="D8" s="57">
        <v>3</v>
      </c>
      <c r="E8" s="57">
        <v>1</v>
      </c>
      <c r="F8" s="57">
        <v>4</v>
      </c>
      <c r="G8" s="57">
        <v>4</v>
      </c>
      <c r="H8" s="57">
        <v>5</v>
      </c>
      <c r="I8" s="57">
        <v>3</v>
      </c>
      <c r="J8" s="57">
        <v>1</v>
      </c>
      <c r="K8" s="57">
        <v>0</v>
      </c>
      <c r="L8" s="57">
        <v>0</v>
      </c>
      <c r="M8" s="57">
        <v>4</v>
      </c>
      <c r="N8" s="57">
        <v>2</v>
      </c>
      <c r="O8" s="57">
        <v>3</v>
      </c>
      <c r="P8" s="57">
        <v>4</v>
      </c>
      <c r="Q8" s="57">
        <v>2</v>
      </c>
      <c r="R8" s="57">
        <v>0</v>
      </c>
      <c r="S8" s="57">
        <v>0</v>
      </c>
      <c r="T8" s="57">
        <v>5</v>
      </c>
      <c r="U8" s="57">
        <v>1</v>
      </c>
      <c r="V8" s="57">
        <v>2</v>
      </c>
      <c r="W8" s="57">
        <v>3</v>
      </c>
      <c r="X8" s="57">
        <v>6</v>
      </c>
      <c r="Y8" s="57">
        <v>0</v>
      </c>
      <c r="Z8" s="57">
        <v>0</v>
      </c>
      <c r="AA8" s="57">
        <v>5</v>
      </c>
      <c r="AB8" s="57">
        <v>2</v>
      </c>
      <c r="AC8" s="57">
        <v>1</v>
      </c>
      <c r="AD8" s="57">
        <v>3</v>
      </c>
      <c r="AE8" s="57">
        <v>4</v>
      </c>
      <c r="AF8" s="57">
        <v>0</v>
      </c>
      <c r="AG8" s="57">
        <v>1</v>
      </c>
      <c r="AH8" s="58">
        <f>SUM(C8:AG8)</f>
        <v>71</v>
      </c>
      <c r="AI8" s="59">
        <f>IFERROR(AH8/$AH$12,0)</f>
        <v>0.10056657223796034</v>
      </c>
      <c r="AJ8" s="60">
        <f>IFERROR(AH8/COUNTIF($C$12:$AG$12,"&gt;0"),0)</f>
        <v>2.7307692307692308</v>
      </c>
    </row>
    <row r="9" spans="2:36" ht="15.75" customHeight="1" x14ac:dyDescent="0.25">
      <c r="B9" s="40" t="s">
        <v>47</v>
      </c>
      <c r="C9" s="57">
        <v>1</v>
      </c>
      <c r="D9" s="57">
        <v>0</v>
      </c>
      <c r="E9" s="57">
        <v>3</v>
      </c>
      <c r="F9" s="57">
        <v>2</v>
      </c>
      <c r="G9" s="57">
        <v>0</v>
      </c>
      <c r="H9" s="57">
        <v>0</v>
      </c>
      <c r="I9" s="57">
        <v>1</v>
      </c>
      <c r="J9" s="57">
        <v>1</v>
      </c>
      <c r="K9" s="57">
        <v>0</v>
      </c>
      <c r="L9" s="57">
        <v>0</v>
      </c>
      <c r="M9" s="57">
        <v>1</v>
      </c>
      <c r="N9" s="57">
        <v>0</v>
      </c>
      <c r="O9" s="57">
        <v>0</v>
      </c>
      <c r="P9" s="57">
        <v>0</v>
      </c>
      <c r="Q9" s="57">
        <v>0</v>
      </c>
      <c r="R9" s="57">
        <v>0</v>
      </c>
      <c r="S9" s="57">
        <v>1</v>
      </c>
      <c r="T9" s="57">
        <v>1</v>
      </c>
      <c r="U9" s="57">
        <v>0</v>
      </c>
      <c r="V9" s="57">
        <v>0</v>
      </c>
      <c r="W9" s="57">
        <v>0</v>
      </c>
      <c r="X9" s="57">
        <v>0</v>
      </c>
      <c r="Y9" s="57">
        <v>0</v>
      </c>
      <c r="Z9" s="57">
        <v>1</v>
      </c>
      <c r="AA9" s="57">
        <v>1</v>
      </c>
      <c r="AB9" s="57">
        <v>0</v>
      </c>
      <c r="AC9" s="57">
        <v>0</v>
      </c>
      <c r="AD9" s="57">
        <v>0</v>
      </c>
      <c r="AE9" s="57">
        <v>0</v>
      </c>
      <c r="AF9" s="57">
        <v>0</v>
      </c>
      <c r="AG9" s="57">
        <v>1</v>
      </c>
      <c r="AH9" s="58">
        <f>SUM(C9:AG9)</f>
        <v>14</v>
      </c>
      <c r="AI9" s="59">
        <f>IFERROR(AH9/$AH$12,0)</f>
        <v>1.9830028328611898E-2</v>
      </c>
      <c r="AJ9" s="60">
        <f>IFERROR(AH9/COUNTIF($C$12:$AG$12,"&gt;0"),0)</f>
        <v>0.53846153846153844</v>
      </c>
    </row>
    <row r="10" spans="2:36" ht="15.75" customHeight="1" x14ac:dyDescent="0.25">
      <c r="B10" s="40" t="s">
        <v>48</v>
      </c>
      <c r="C10" s="57">
        <v>5</v>
      </c>
      <c r="D10" s="57">
        <v>1</v>
      </c>
      <c r="E10" s="57">
        <v>7</v>
      </c>
      <c r="F10" s="57">
        <v>14</v>
      </c>
      <c r="G10" s="57">
        <v>13</v>
      </c>
      <c r="H10" s="57">
        <v>12</v>
      </c>
      <c r="I10" s="57">
        <v>9</v>
      </c>
      <c r="J10" s="57">
        <v>11</v>
      </c>
      <c r="K10" s="57">
        <v>0</v>
      </c>
      <c r="L10" s="57">
        <v>0</v>
      </c>
      <c r="M10" s="57">
        <v>11</v>
      </c>
      <c r="N10" s="57">
        <v>8</v>
      </c>
      <c r="O10" s="57">
        <v>5</v>
      </c>
      <c r="P10" s="57">
        <v>5</v>
      </c>
      <c r="Q10" s="57">
        <v>5</v>
      </c>
      <c r="R10" s="57">
        <v>0</v>
      </c>
      <c r="S10" s="57">
        <v>7</v>
      </c>
      <c r="T10" s="57">
        <v>4</v>
      </c>
      <c r="U10" s="57">
        <v>9</v>
      </c>
      <c r="V10" s="57">
        <v>2</v>
      </c>
      <c r="W10" s="57">
        <v>5</v>
      </c>
      <c r="X10" s="57">
        <v>7</v>
      </c>
      <c r="Y10" s="57">
        <v>0</v>
      </c>
      <c r="Z10" s="57">
        <v>12</v>
      </c>
      <c r="AA10" s="57">
        <v>12</v>
      </c>
      <c r="AB10" s="57">
        <v>2</v>
      </c>
      <c r="AC10" s="57">
        <v>3</v>
      </c>
      <c r="AD10" s="57">
        <v>5</v>
      </c>
      <c r="AE10" s="57">
        <v>4</v>
      </c>
      <c r="AF10" s="57">
        <v>0</v>
      </c>
      <c r="AG10" s="57">
        <v>9</v>
      </c>
      <c r="AH10" s="58">
        <f>SUM(C10:AG10)</f>
        <v>187</v>
      </c>
      <c r="AI10" s="59">
        <f>IFERROR(AH10/$AH$12,0)</f>
        <v>0.26487252124645894</v>
      </c>
      <c r="AJ10" s="60">
        <f>IFERROR(AH10/COUNTIF($C$12:$AG$12,"&gt;0"),0)</f>
        <v>7.1923076923076925</v>
      </c>
    </row>
    <row r="11" spans="2:36" ht="15.75" customHeight="1" x14ac:dyDescent="0.25">
      <c r="B11" s="40" t="s">
        <v>49</v>
      </c>
      <c r="C11" s="57">
        <v>1</v>
      </c>
      <c r="D11" s="57">
        <v>0</v>
      </c>
      <c r="E11" s="57">
        <v>1</v>
      </c>
      <c r="F11" s="57">
        <v>1</v>
      </c>
      <c r="G11" s="57">
        <v>1</v>
      </c>
      <c r="H11" s="57">
        <v>5</v>
      </c>
      <c r="I11" s="57">
        <v>2</v>
      </c>
      <c r="J11" s="57">
        <v>1</v>
      </c>
      <c r="K11" s="57">
        <v>0</v>
      </c>
      <c r="L11" s="57">
        <v>0</v>
      </c>
      <c r="M11" s="57">
        <v>2</v>
      </c>
      <c r="N11" s="57">
        <v>0</v>
      </c>
      <c r="O11" s="57">
        <v>4</v>
      </c>
      <c r="P11" s="57">
        <v>1</v>
      </c>
      <c r="Q11" s="57">
        <v>0</v>
      </c>
      <c r="R11" s="57">
        <v>0</v>
      </c>
      <c r="S11" s="57">
        <v>3</v>
      </c>
      <c r="T11" s="57">
        <v>3</v>
      </c>
      <c r="U11" s="57">
        <v>2</v>
      </c>
      <c r="V11" s="57">
        <v>4</v>
      </c>
      <c r="W11" s="57">
        <v>1</v>
      </c>
      <c r="X11" s="57">
        <v>0</v>
      </c>
      <c r="Y11" s="57">
        <v>0</v>
      </c>
      <c r="Z11" s="57">
        <v>3</v>
      </c>
      <c r="AA11" s="57">
        <v>1</v>
      </c>
      <c r="AB11" s="57">
        <v>2</v>
      </c>
      <c r="AC11" s="57">
        <v>3</v>
      </c>
      <c r="AD11" s="57">
        <v>1</v>
      </c>
      <c r="AE11" s="57">
        <v>0</v>
      </c>
      <c r="AF11" s="57">
        <v>0</v>
      </c>
      <c r="AG11" s="57">
        <v>3</v>
      </c>
      <c r="AH11" s="58">
        <f>SUM(C11:AG11)</f>
        <v>45</v>
      </c>
      <c r="AI11" s="59">
        <f>IFERROR(AH11/$AH$12,0)</f>
        <v>6.3739376770538245E-2</v>
      </c>
      <c r="AJ11" s="60">
        <f>IFERROR(AH11/COUNTIF($C$12:$AG$12,"&gt;0"),0)</f>
        <v>1.7307692307692308</v>
      </c>
    </row>
    <row r="12" spans="2:36" x14ac:dyDescent="0.25">
      <c r="B12" s="61" t="s">
        <v>50</v>
      </c>
      <c r="C12" s="62">
        <f t="shared" ref="C12:AH12" si="0">SUM(C7:C11)</f>
        <v>24</v>
      </c>
      <c r="D12" s="62">
        <f t="shared" si="0"/>
        <v>13</v>
      </c>
      <c r="E12" s="62">
        <f t="shared" si="0"/>
        <v>24</v>
      </c>
      <c r="F12" s="62">
        <f t="shared" si="0"/>
        <v>38</v>
      </c>
      <c r="G12" s="62">
        <f t="shared" si="0"/>
        <v>38</v>
      </c>
      <c r="H12" s="62">
        <f t="shared" si="0"/>
        <v>36</v>
      </c>
      <c r="I12" s="62">
        <f t="shared" si="0"/>
        <v>32</v>
      </c>
      <c r="J12" s="62">
        <f t="shared" si="0"/>
        <v>34</v>
      </c>
      <c r="K12" s="62">
        <f t="shared" si="0"/>
        <v>0</v>
      </c>
      <c r="L12" s="62">
        <f t="shared" si="0"/>
        <v>0</v>
      </c>
      <c r="M12" s="62">
        <f t="shared" si="0"/>
        <v>34</v>
      </c>
      <c r="N12" s="62">
        <f t="shared" si="0"/>
        <v>29</v>
      </c>
      <c r="O12" s="62">
        <f t="shared" si="0"/>
        <v>28</v>
      </c>
      <c r="P12" s="62">
        <f t="shared" si="0"/>
        <v>30</v>
      </c>
      <c r="Q12" s="62">
        <f t="shared" si="0"/>
        <v>18</v>
      </c>
      <c r="R12" s="62">
        <f t="shared" si="0"/>
        <v>0</v>
      </c>
      <c r="S12" s="62">
        <f t="shared" si="0"/>
        <v>19</v>
      </c>
      <c r="T12" s="62">
        <f t="shared" si="0"/>
        <v>28</v>
      </c>
      <c r="U12" s="62">
        <f t="shared" si="0"/>
        <v>28</v>
      </c>
      <c r="V12" s="62">
        <f t="shared" si="0"/>
        <v>24</v>
      </c>
      <c r="W12" s="62">
        <f t="shared" si="0"/>
        <v>28</v>
      </c>
      <c r="X12" s="62">
        <f t="shared" si="0"/>
        <v>28</v>
      </c>
      <c r="Y12" s="62">
        <f t="shared" si="0"/>
        <v>0</v>
      </c>
      <c r="Z12" s="62">
        <f t="shared" si="0"/>
        <v>29</v>
      </c>
      <c r="AA12" s="62">
        <f t="shared" si="0"/>
        <v>29</v>
      </c>
      <c r="AB12" s="62">
        <f t="shared" si="0"/>
        <v>28</v>
      </c>
      <c r="AC12" s="62">
        <f t="shared" si="0"/>
        <v>23</v>
      </c>
      <c r="AD12" s="62">
        <f t="shared" si="0"/>
        <v>25</v>
      </c>
      <c r="AE12" s="62">
        <f t="shared" si="0"/>
        <v>23</v>
      </c>
      <c r="AF12" s="62">
        <f t="shared" si="0"/>
        <v>0</v>
      </c>
      <c r="AG12" s="62">
        <f t="shared" si="0"/>
        <v>16</v>
      </c>
      <c r="AH12" s="62">
        <f t="shared" si="0"/>
        <v>706</v>
      </c>
      <c r="AI12" s="63">
        <f>IFERROR(AH12/AH12,0)</f>
        <v>1</v>
      </c>
      <c r="AJ12" s="64">
        <f>IFERROR(AH12/COUNTIF(C12:AG12,"&gt;0"),0)</f>
        <v>27.153846153846153</v>
      </c>
    </row>
    <row r="14" spans="2:36" ht="25.5" customHeight="1" x14ac:dyDescent="0.25">
      <c r="B14" s="111" t="s">
        <v>104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</row>
    <row r="15" spans="2:36" ht="15.75" customHeight="1" x14ac:dyDescent="0.25">
      <c r="B15" s="56" t="s">
        <v>45</v>
      </c>
      <c r="C15" s="57">
        <v>5</v>
      </c>
      <c r="D15" s="57">
        <v>0</v>
      </c>
      <c r="E15" s="57">
        <v>4</v>
      </c>
      <c r="F15" s="57">
        <v>7</v>
      </c>
      <c r="G15" s="57">
        <v>6</v>
      </c>
      <c r="H15" s="57">
        <v>4</v>
      </c>
      <c r="I15" s="57">
        <v>6</v>
      </c>
      <c r="J15" s="57">
        <v>3</v>
      </c>
      <c r="K15" s="57">
        <v>0</v>
      </c>
      <c r="L15" s="57">
        <v>4</v>
      </c>
      <c r="M15" s="57">
        <v>4</v>
      </c>
      <c r="N15" s="57">
        <v>4</v>
      </c>
      <c r="O15" s="57">
        <v>5</v>
      </c>
      <c r="P15" s="57">
        <v>2</v>
      </c>
      <c r="Q15" s="57">
        <v>7</v>
      </c>
      <c r="R15" s="57">
        <v>0</v>
      </c>
      <c r="S15" s="57">
        <v>1</v>
      </c>
      <c r="T15" s="57">
        <v>6</v>
      </c>
      <c r="U15" s="57">
        <v>4</v>
      </c>
      <c r="V15" s="57">
        <v>3</v>
      </c>
      <c r="W15" s="57">
        <v>3</v>
      </c>
      <c r="X15" s="57">
        <v>6</v>
      </c>
      <c r="Y15" s="57">
        <v>0</v>
      </c>
      <c r="Z15" s="57">
        <v>3</v>
      </c>
      <c r="AA15" s="57">
        <v>7</v>
      </c>
      <c r="AB15" s="57">
        <v>3</v>
      </c>
      <c r="AC15" s="57">
        <v>7</v>
      </c>
      <c r="AD15" s="57">
        <v>5</v>
      </c>
      <c r="AE15" s="57">
        <v>7</v>
      </c>
      <c r="AF15" s="57">
        <v>0</v>
      </c>
      <c r="AG15" s="57">
        <v>3</v>
      </c>
      <c r="AH15" s="58">
        <f>SUM(C15:AG15)</f>
        <v>119</v>
      </c>
      <c r="AI15" s="59">
        <f>IFERROR(AH15/$AH$20,0)</f>
        <v>0.37071651090342678</v>
      </c>
      <c r="AJ15" s="60">
        <f>IFERROR(AH15/COUNTIF($C$20:$AG$20,"&gt;0"),0)</f>
        <v>4.5769230769230766</v>
      </c>
    </row>
    <row r="16" spans="2:36" ht="15.75" customHeight="1" x14ac:dyDescent="0.25">
      <c r="B16" s="56" t="s">
        <v>46</v>
      </c>
      <c r="C16" s="57">
        <v>1</v>
      </c>
      <c r="D16" s="57">
        <v>0</v>
      </c>
      <c r="E16" s="57">
        <v>1</v>
      </c>
      <c r="F16" s="57">
        <v>1</v>
      </c>
      <c r="G16" s="57">
        <v>2</v>
      </c>
      <c r="H16" s="57">
        <v>2</v>
      </c>
      <c r="I16" s="57">
        <v>1</v>
      </c>
      <c r="J16" s="57">
        <v>2</v>
      </c>
      <c r="K16" s="57">
        <v>0</v>
      </c>
      <c r="L16" s="57">
        <v>0</v>
      </c>
      <c r="M16" s="57">
        <v>1</v>
      </c>
      <c r="N16" s="57">
        <v>1</v>
      </c>
      <c r="O16" s="57">
        <v>1</v>
      </c>
      <c r="P16" s="57">
        <v>2</v>
      </c>
      <c r="Q16" s="57">
        <v>1</v>
      </c>
      <c r="R16" s="57">
        <v>0</v>
      </c>
      <c r="S16" s="57">
        <v>1</v>
      </c>
      <c r="T16" s="57">
        <v>1</v>
      </c>
      <c r="U16" s="57">
        <v>1</v>
      </c>
      <c r="V16" s="57">
        <v>0</v>
      </c>
      <c r="W16" s="57">
        <v>1</v>
      </c>
      <c r="X16" s="57">
        <v>0</v>
      </c>
      <c r="Y16" s="57">
        <v>0</v>
      </c>
      <c r="Z16" s="57">
        <v>1</v>
      </c>
      <c r="AA16" s="57">
        <v>1</v>
      </c>
      <c r="AB16" s="57">
        <v>1</v>
      </c>
      <c r="AC16" s="57">
        <v>3</v>
      </c>
      <c r="AD16" s="57">
        <v>0</v>
      </c>
      <c r="AE16" s="57">
        <v>2</v>
      </c>
      <c r="AF16" s="57">
        <v>0</v>
      </c>
      <c r="AG16" s="57">
        <v>1</v>
      </c>
      <c r="AH16" s="58">
        <f>SUM(C16:AG16)</f>
        <v>29</v>
      </c>
      <c r="AI16" s="59">
        <f>IFERROR(AH16/$AH$20,0)</f>
        <v>9.0342679127725853E-2</v>
      </c>
      <c r="AJ16" s="60">
        <f>IFERROR(AH16/COUNTIF($C$20:$AG$20,"&gt;0"),0)</f>
        <v>1.1153846153846154</v>
      </c>
    </row>
    <row r="17" spans="2:36" ht="15.75" customHeight="1" x14ac:dyDescent="0.25">
      <c r="B17" s="40" t="s">
        <v>47</v>
      </c>
      <c r="C17" s="57">
        <v>0</v>
      </c>
      <c r="D17" s="57">
        <v>0</v>
      </c>
      <c r="E17" s="57">
        <v>5</v>
      </c>
      <c r="F17" s="57">
        <v>4</v>
      </c>
      <c r="G17" s="57">
        <v>5</v>
      </c>
      <c r="H17" s="57">
        <v>3</v>
      </c>
      <c r="I17" s="57">
        <v>4</v>
      </c>
      <c r="J17" s="57">
        <v>1</v>
      </c>
      <c r="K17" s="57">
        <v>0</v>
      </c>
      <c r="L17" s="57">
        <v>2</v>
      </c>
      <c r="M17" s="57">
        <v>5</v>
      </c>
      <c r="N17" s="57">
        <v>5</v>
      </c>
      <c r="O17" s="57">
        <v>1</v>
      </c>
      <c r="P17" s="57">
        <v>1</v>
      </c>
      <c r="Q17" s="57">
        <v>0</v>
      </c>
      <c r="R17" s="57">
        <v>0</v>
      </c>
      <c r="S17" s="57">
        <v>0</v>
      </c>
      <c r="T17" s="57">
        <v>3</v>
      </c>
      <c r="U17" s="57">
        <v>3</v>
      </c>
      <c r="V17" s="57">
        <v>2</v>
      </c>
      <c r="W17" s="57">
        <v>4</v>
      </c>
      <c r="X17" s="57">
        <v>0</v>
      </c>
      <c r="Y17" s="57">
        <v>0</v>
      </c>
      <c r="Z17" s="57">
        <v>3</v>
      </c>
      <c r="AA17" s="57">
        <v>2</v>
      </c>
      <c r="AB17" s="57">
        <v>2</v>
      </c>
      <c r="AC17" s="57">
        <v>6</v>
      </c>
      <c r="AD17" s="57">
        <v>3</v>
      </c>
      <c r="AE17" s="57">
        <v>1</v>
      </c>
      <c r="AF17" s="57">
        <v>0</v>
      </c>
      <c r="AG17" s="57">
        <v>3</v>
      </c>
      <c r="AH17" s="58">
        <f>SUM(C17:AG17)</f>
        <v>68</v>
      </c>
      <c r="AI17" s="59">
        <f>IFERROR(AH17/$AH$20,0)</f>
        <v>0.21183800623052959</v>
      </c>
      <c r="AJ17" s="60">
        <f>IFERROR(AH17/COUNTIF($C$20:$AG$20,"&gt;0"),0)</f>
        <v>2.6153846153846154</v>
      </c>
    </row>
    <row r="18" spans="2:36" ht="15.75" customHeight="1" x14ac:dyDescent="0.25">
      <c r="B18" s="40" t="s">
        <v>48</v>
      </c>
      <c r="C18" s="57">
        <v>1</v>
      </c>
      <c r="D18" s="57">
        <v>0</v>
      </c>
      <c r="E18" s="57">
        <v>3</v>
      </c>
      <c r="F18" s="57">
        <v>6</v>
      </c>
      <c r="G18" s="57">
        <v>4</v>
      </c>
      <c r="H18" s="57">
        <v>3</v>
      </c>
      <c r="I18" s="57">
        <v>9</v>
      </c>
      <c r="J18" s="57">
        <v>3</v>
      </c>
      <c r="K18" s="57">
        <v>0</v>
      </c>
      <c r="L18" s="57">
        <v>1</v>
      </c>
      <c r="M18" s="57">
        <v>3</v>
      </c>
      <c r="N18" s="57">
        <v>3</v>
      </c>
      <c r="O18" s="57">
        <v>0</v>
      </c>
      <c r="P18" s="57">
        <v>2</v>
      </c>
      <c r="Q18" s="57">
        <v>6</v>
      </c>
      <c r="R18" s="57">
        <v>0</v>
      </c>
      <c r="S18" s="57">
        <v>6</v>
      </c>
      <c r="T18" s="57">
        <v>8</v>
      </c>
      <c r="U18" s="57">
        <v>6</v>
      </c>
      <c r="V18" s="57">
        <v>3</v>
      </c>
      <c r="W18" s="57">
        <v>1</v>
      </c>
      <c r="X18" s="57">
        <v>3</v>
      </c>
      <c r="Y18" s="57">
        <v>0</v>
      </c>
      <c r="Z18" s="57">
        <v>1</v>
      </c>
      <c r="AA18" s="57">
        <v>5</v>
      </c>
      <c r="AB18" s="57">
        <v>7</v>
      </c>
      <c r="AC18" s="57">
        <v>3</v>
      </c>
      <c r="AD18" s="57">
        <v>4</v>
      </c>
      <c r="AE18" s="57">
        <v>2</v>
      </c>
      <c r="AF18" s="57">
        <v>0</v>
      </c>
      <c r="AG18" s="57">
        <v>3</v>
      </c>
      <c r="AH18" s="58">
        <f>SUM(C18:AG18)</f>
        <v>96</v>
      </c>
      <c r="AI18" s="59">
        <f>IFERROR(AH18/$AH$20,0)</f>
        <v>0.29906542056074764</v>
      </c>
      <c r="AJ18" s="60">
        <f>IFERROR(AH18/COUNTIF($C$20:$AG$20,"&gt;0"),0)</f>
        <v>3.6923076923076925</v>
      </c>
    </row>
    <row r="19" spans="2:36" ht="15.75" customHeight="1" x14ac:dyDescent="0.25">
      <c r="B19" s="40" t="s">
        <v>49</v>
      </c>
      <c r="C19" s="57">
        <v>0</v>
      </c>
      <c r="D19" s="57">
        <v>0</v>
      </c>
      <c r="E19" s="57">
        <v>3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1</v>
      </c>
      <c r="M19" s="57">
        <v>0</v>
      </c>
      <c r="N19" s="57">
        <v>0</v>
      </c>
      <c r="O19" s="57">
        <v>0</v>
      </c>
      <c r="P19" s="57">
        <v>0</v>
      </c>
      <c r="Q19" s="57">
        <v>0</v>
      </c>
      <c r="R19" s="57">
        <v>0</v>
      </c>
      <c r="S19" s="57">
        <v>0</v>
      </c>
      <c r="T19" s="57">
        <v>0</v>
      </c>
      <c r="U19" s="57">
        <v>1</v>
      </c>
      <c r="V19" s="57">
        <v>0</v>
      </c>
      <c r="W19" s="57">
        <v>0</v>
      </c>
      <c r="X19" s="57">
        <v>0</v>
      </c>
      <c r="Y19" s="57">
        <v>0</v>
      </c>
      <c r="Z19" s="57">
        <v>0</v>
      </c>
      <c r="AA19" s="57">
        <v>0</v>
      </c>
      <c r="AB19" s="57">
        <v>0</v>
      </c>
      <c r="AC19" s="57">
        <v>0</v>
      </c>
      <c r="AD19" s="57">
        <v>0</v>
      </c>
      <c r="AE19" s="57">
        <v>0</v>
      </c>
      <c r="AF19" s="57">
        <v>0</v>
      </c>
      <c r="AG19" s="57">
        <v>4</v>
      </c>
      <c r="AH19" s="58">
        <f>SUM(C19:AG19)</f>
        <v>9</v>
      </c>
      <c r="AI19" s="59">
        <f>IFERROR(AH19/$AH$20,0)</f>
        <v>2.8037383177570093E-2</v>
      </c>
      <c r="AJ19" s="60">
        <f>IFERROR(AH19/COUNTIF($C$20:$AG$20,"&gt;0"),0)</f>
        <v>0.34615384615384615</v>
      </c>
    </row>
    <row r="20" spans="2:36" x14ac:dyDescent="0.25">
      <c r="B20" s="61" t="s">
        <v>50</v>
      </c>
      <c r="C20" s="62">
        <f t="shared" ref="C20:AH20" si="1">SUM(C15:C19)</f>
        <v>7</v>
      </c>
      <c r="D20" s="62">
        <f t="shared" si="1"/>
        <v>0</v>
      </c>
      <c r="E20" s="62">
        <f t="shared" si="1"/>
        <v>16</v>
      </c>
      <c r="F20" s="62">
        <f t="shared" si="1"/>
        <v>18</v>
      </c>
      <c r="G20" s="62">
        <f t="shared" si="1"/>
        <v>17</v>
      </c>
      <c r="H20" s="62">
        <f t="shared" si="1"/>
        <v>12</v>
      </c>
      <c r="I20" s="62">
        <f t="shared" si="1"/>
        <v>20</v>
      </c>
      <c r="J20" s="62">
        <f t="shared" si="1"/>
        <v>9</v>
      </c>
      <c r="K20" s="62">
        <f t="shared" si="1"/>
        <v>0</v>
      </c>
      <c r="L20" s="62">
        <f t="shared" si="1"/>
        <v>8</v>
      </c>
      <c r="M20" s="62">
        <f t="shared" si="1"/>
        <v>13</v>
      </c>
      <c r="N20" s="62">
        <f t="shared" si="1"/>
        <v>13</v>
      </c>
      <c r="O20" s="62">
        <f t="shared" si="1"/>
        <v>7</v>
      </c>
      <c r="P20" s="62">
        <f t="shared" si="1"/>
        <v>7</v>
      </c>
      <c r="Q20" s="62">
        <f t="shared" si="1"/>
        <v>14</v>
      </c>
      <c r="R20" s="62">
        <f t="shared" si="1"/>
        <v>0</v>
      </c>
      <c r="S20" s="62">
        <f t="shared" si="1"/>
        <v>8</v>
      </c>
      <c r="T20" s="62">
        <f t="shared" si="1"/>
        <v>18</v>
      </c>
      <c r="U20" s="62">
        <f t="shared" si="1"/>
        <v>15</v>
      </c>
      <c r="V20" s="62">
        <f t="shared" si="1"/>
        <v>8</v>
      </c>
      <c r="W20" s="62">
        <f t="shared" si="1"/>
        <v>9</v>
      </c>
      <c r="X20" s="62">
        <f t="shared" si="1"/>
        <v>9</v>
      </c>
      <c r="Y20" s="62">
        <f t="shared" si="1"/>
        <v>0</v>
      </c>
      <c r="Z20" s="62">
        <f t="shared" si="1"/>
        <v>8</v>
      </c>
      <c r="AA20" s="62">
        <f t="shared" si="1"/>
        <v>15</v>
      </c>
      <c r="AB20" s="62">
        <f t="shared" si="1"/>
        <v>13</v>
      </c>
      <c r="AC20" s="62">
        <f t="shared" si="1"/>
        <v>19</v>
      </c>
      <c r="AD20" s="62">
        <f t="shared" si="1"/>
        <v>12</v>
      </c>
      <c r="AE20" s="62">
        <f t="shared" si="1"/>
        <v>12</v>
      </c>
      <c r="AF20" s="62">
        <f t="shared" si="1"/>
        <v>0</v>
      </c>
      <c r="AG20" s="62">
        <f t="shared" si="1"/>
        <v>14</v>
      </c>
      <c r="AH20" s="62">
        <f t="shared" si="1"/>
        <v>321</v>
      </c>
      <c r="AI20" s="63">
        <f>IFERROR(AH20/AH20,0)</f>
        <v>1</v>
      </c>
      <c r="AJ20" s="64">
        <f>IFERROR(AH20/COUNTIF(C20:AG20,"&gt;0"),0)</f>
        <v>12.346153846153847</v>
      </c>
    </row>
    <row r="22" spans="2:36" ht="25.5" customHeight="1" x14ac:dyDescent="0.25">
      <c r="B22" s="111" t="s">
        <v>105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</row>
    <row r="23" spans="2:36" ht="15.75" customHeight="1" x14ac:dyDescent="0.25">
      <c r="B23" s="56" t="s">
        <v>45</v>
      </c>
      <c r="C23" s="57">
        <v>7</v>
      </c>
      <c r="D23" s="57">
        <v>4</v>
      </c>
      <c r="E23" s="57">
        <v>4</v>
      </c>
      <c r="F23" s="57">
        <v>6</v>
      </c>
      <c r="G23" s="57">
        <v>7</v>
      </c>
      <c r="H23" s="57">
        <v>8</v>
      </c>
      <c r="I23" s="57">
        <v>6</v>
      </c>
      <c r="J23" s="57">
        <v>8</v>
      </c>
      <c r="K23" s="57">
        <v>0</v>
      </c>
      <c r="L23" s="57">
        <v>6</v>
      </c>
      <c r="M23" s="57">
        <v>10</v>
      </c>
      <c r="N23" s="57">
        <v>12</v>
      </c>
      <c r="O23" s="57">
        <v>11</v>
      </c>
      <c r="P23" s="57">
        <v>7</v>
      </c>
      <c r="Q23" s="57">
        <v>7</v>
      </c>
      <c r="R23" s="57">
        <v>0</v>
      </c>
      <c r="S23" s="57">
        <v>6</v>
      </c>
      <c r="T23" s="57">
        <v>8</v>
      </c>
      <c r="U23" s="57">
        <v>11</v>
      </c>
      <c r="V23" s="57">
        <v>15</v>
      </c>
      <c r="W23" s="57">
        <v>7</v>
      </c>
      <c r="X23" s="57">
        <v>3</v>
      </c>
      <c r="Y23" s="57">
        <v>0</v>
      </c>
      <c r="Z23" s="57">
        <v>3</v>
      </c>
      <c r="AA23" s="57">
        <v>10</v>
      </c>
      <c r="AB23" s="57">
        <v>14</v>
      </c>
      <c r="AC23" s="57">
        <v>9</v>
      </c>
      <c r="AD23" s="57">
        <v>6</v>
      </c>
      <c r="AE23" s="57">
        <v>9</v>
      </c>
      <c r="AF23" s="57">
        <v>0</v>
      </c>
      <c r="AG23" s="57">
        <v>9</v>
      </c>
      <c r="AH23" s="58">
        <f>SUM(C23:AG23)</f>
        <v>213</v>
      </c>
      <c r="AI23" s="59">
        <f>IFERROR(AH23/$AH$28,0)</f>
        <v>0.56200527704485492</v>
      </c>
      <c r="AJ23" s="60">
        <f>IFERROR(AH23/COUNTIF($C$28:$AG$28,"&gt;0"),0)</f>
        <v>7.8888888888888893</v>
      </c>
    </row>
    <row r="24" spans="2:36" ht="15.75" customHeight="1" x14ac:dyDescent="0.25">
      <c r="B24" s="56" t="s">
        <v>46</v>
      </c>
      <c r="C24" s="57">
        <v>0</v>
      </c>
      <c r="D24" s="57">
        <v>1</v>
      </c>
      <c r="E24" s="57">
        <v>0</v>
      </c>
      <c r="F24" s="57">
        <v>2</v>
      </c>
      <c r="G24" s="57">
        <v>3</v>
      </c>
      <c r="H24" s="57">
        <v>2</v>
      </c>
      <c r="I24" s="57">
        <v>2</v>
      </c>
      <c r="J24" s="57">
        <v>0</v>
      </c>
      <c r="K24" s="57">
        <v>0</v>
      </c>
      <c r="L24" s="57">
        <v>1</v>
      </c>
      <c r="M24" s="57">
        <v>3</v>
      </c>
      <c r="N24" s="57">
        <v>1</v>
      </c>
      <c r="O24" s="57">
        <v>4</v>
      </c>
      <c r="P24" s="57">
        <v>0</v>
      </c>
      <c r="Q24" s="57">
        <v>2</v>
      </c>
      <c r="R24" s="57">
        <v>0</v>
      </c>
      <c r="S24" s="57">
        <v>2</v>
      </c>
      <c r="T24" s="57">
        <v>2</v>
      </c>
      <c r="U24" s="57">
        <v>1</v>
      </c>
      <c r="V24" s="57">
        <v>1</v>
      </c>
      <c r="W24" s="57">
        <v>0</v>
      </c>
      <c r="X24" s="57">
        <v>0</v>
      </c>
      <c r="Y24" s="57">
        <v>0</v>
      </c>
      <c r="Z24" s="57">
        <v>2</v>
      </c>
      <c r="AA24" s="57">
        <v>2</v>
      </c>
      <c r="AB24" s="57">
        <v>1</v>
      </c>
      <c r="AC24" s="57">
        <v>1</v>
      </c>
      <c r="AD24" s="57">
        <v>0</v>
      </c>
      <c r="AE24" s="57">
        <v>2</v>
      </c>
      <c r="AF24" s="57">
        <v>0</v>
      </c>
      <c r="AG24" s="57">
        <v>2</v>
      </c>
      <c r="AH24" s="58">
        <f>SUM(C24:AG24)</f>
        <v>37</v>
      </c>
      <c r="AI24" s="59">
        <f>IFERROR(AH24/$AH$28,0)</f>
        <v>9.7625329815303433E-2</v>
      </c>
      <c r="AJ24" s="60">
        <f>IFERROR(AH24/COUNTIF($C$28:$AG$28,"&gt;0"),0)</f>
        <v>1.3703703703703705</v>
      </c>
    </row>
    <row r="25" spans="2:36" ht="15.75" customHeight="1" x14ac:dyDescent="0.25">
      <c r="B25" s="40" t="s">
        <v>47</v>
      </c>
      <c r="C25" s="57"/>
      <c r="D25" s="57"/>
      <c r="E25" s="57">
        <v>0</v>
      </c>
      <c r="F25" s="57">
        <v>1</v>
      </c>
      <c r="G25" s="57">
        <v>0</v>
      </c>
      <c r="H25" s="57">
        <v>0</v>
      </c>
      <c r="I25" s="57">
        <v>1</v>
      </c>
      <c r="J25" s="57">
        <v>0</v>
      </c>
      <c r="K25" s="57">
        <v>0</v>
      </c>
      <c r="L25" s="57">
        <v>0</v>
      </c>
      <c r="M25" s="57">
        <v>0</v>
      </c>
      <c r="N25" s="57">
        <v>1</v>
      </c>
      <c r="O25" s="57">
        <v>1</v>
      </c>
      <c r="P25" s="57">
        <v>0</v>
      </c>
      <c r="Q25" s="57">
        <v>0</v>
      </c>
      <c r="R25" s="57">
        <v>0</v>
      </c>
      <c r="S25" s="57">
        <v>1</v>
      </c>
      <c r="T25" s="57">
        <v>1</v>
      </c>
      <c r="U25" s="57">
        <v>1</v>
      </c>
      <c r="V25" s="57">
        <v>0</v>
      </c>
      <c r="W25" s="57">
        <v>0</v>
      </c>
      <c r="X25" s="57">
        <v>0</v>
      </c>
      <c r="Y25" s="57">
        <v>0</v>
      </c>
      <c r="Z25" s="57">
        <v>0</v>
      </c>
      <c r="AA25" s="57">
        <v>0</v>
      </c>
      <c r="AB25" s="57">
        <v>0</v>
      </c>
      <c r="AC25" s="57">
        <v>0</v>
      </c>
      <c r="AD25" s="57">
        <v>0</v>
      </c>
      <c r="AE25" s="57">
        <v>0</v>
      </c>
      <c r="AF25" s="57">
        <v>0</v>
      </c>
      <c r="AG25" s="57">
        <v>0</v>
      </c>
      <c r="AH25" s="58">
        <f>SUM(C25:AG25)</f>
        <v>7</v>
      </c>
      <c r="AI25" s="59">
        <f>IFERROR(AH25/$AH$28,0)</f>
        <v>1.8469656992084433E-2</v>
      </c>
      <c r="AJ25" s="60">
        <f>IFERROR(AH25/COUNTIF($C$28:$AG$28,"&gt;0"),0)</f>
        <v>0.25925925925925924</v>
      </c>
    </row>
    <row r="26" spans="2:36" ht="15.75" customHeight="1" x14ac:dyDescent="0.25">
      <c r="B26" s="40" t="s">
        <v>48</v>
      </c>
      <c r="C26" s="57">
        <v>0</v>
      </c>
      <c r="D26" s="57">
        <v>0</v>
      </c>
      <c r="E26" s="57">
        <v>3</v>
      </c>
      <c r="F26" s="57">
        <v>3</v>
      </c>
      <c r="G26" s="57">
        <v>6</v>
      </c>
      <c r="H26" s="57">
        <v>6</v>
      </c>
      <c r="I26" s="57">
        <v>3</v>
      </c>
      <c r="J26" s="57">
        <v>2</v>
      </c>
      <c r="K26" s="57">
        <v>0</v>
      </c>
      <c r="L26" s="57">
        <v>4</v>
      </c>
      <c r="M26" s="57">
        <v>4</v>
      </c>
      <c r="N26" s="57">
        <v>7</v>
      </c>
      <c r="O26" s="57">
        <v>4</v>
      </c>
      <c r="P26" s="57">
        <v>7</v>
      </c>
      <c r="Q26" s="57">
        <v>0</v>
      </c>
      <c r="R26" s="57">
        <v>0</v>
      </c>
      <c r="S26" s="57">
        <v>1</v>
      </c>
      <c r="T26" s="57">
        <v>9</v>
      </c>
      <c r="U26" s="57">
        <v>4</v>
      </c>
      <c r="V26" s="57">
        <v>3</v>
      </c>
      <c r="W26" s="57">
        <v>5</v>
      </c>
      <c r="X26" s="57">
        <v>1</v>
      </c>
      <c r="Y26" s="57">
        <v>0</v>
      </c>
      <c r="Z26" s="57">
        <v>4</v>
      </c>
      <c r="AA26" s="57">
        <v>6</v>
      </c>
      <c r="AB26" s="57">
        <v>4</v>
      </c>
      <c r="AC26" s="57">
        <v>6</v>
      </c>
      <c r="AD26" s="57">
        <v>2</v>
      </c>
      <c r="AE26" s="57">
        <v>2</v>
      </c>
      <c r="AF26" s="57">
        <v>0</v>
      </c>
      <c r="AG26" s="57">
        <v>3</v>
      </c>
      <c r="AH26" s="58">
        <f>SUM(C26:AG26)</f>
        <v>99</v>
      </c>
      <c r="AI26" s="59">
        <f>IFERROR(AH26/$AH$28,0)</f>
        <v>0.26121372031662271</v>
      </c>
      <c r="AJ26" s="60">
        <f>IFERROR(AH26/COUNTIF($C$28:$AG$28,"&gt;0"),0)</f>
        <v>3.6666666666666665</v>
      </c>
    </row>
    <row r="27" spans="2:36" ht="15.75" customHeight="1" x14ac:dyDescent="0.25">
      <c r="B27" s="40" t="s">
        <v>49</v>
      </c>
      <c r="C27" s="57">
        <v>3</v>
      </c>
      <c r="D27" s="57">
        <v>1</v>
      </c>
      <c r="E27" s="57">
        <v>2</v>
      </c>
      <c r="F27" s="57">
        <v>1</v>
      </c>
      <c r="G27" s="57">
        <v>1</v>
      </c>
      <c r="H27" s="57">
        <v>1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1</v>
      </c>
      <c r="O27" s="57">
        <v>0</v>
      </c>
      <c r="P27" s="57">
        <v>1</v>
      </c>
      <c r="Q27" s="57">
        <v>0</v>
      </c>
      <c r="R27" s="57">
        <v>0</v>
      </c>
      <c r="S27" s="57">
        <v>0</v>
      </c>
      <c r="T27" s="57">
        <v>1</v>
      </c>
      <c r="U27" s="57">
        <v>4</v>
      </c>
      <c r="V27" s="57">
        <v>0</v>
      </c>
      <c r="W27" s="57">
        <v>0</v>
      </c>
      <c r="X27" s="57">
        <v>0</v>
      </c>
      <c r="Y27" s="57">
        <v>0</v>
      </c>
      <c r="Z27" s="57">
        <v>3</v>
      </c>
      <c r="AA27" s="57">
        <v>1</v>
      </c>
      <c r="AB27" s="57">
        <v>0</v>
      </c>
      <c r="AC27" s="57">
        <v>0</v>
      </c>
      <c r="AD27" s="57">
        <v>2</v>
      </c>
      <c r="AE27" s="57">
        <v>0</v>
      </c>
      <c r="AF27" s="57">
        <v>0</v>
      </c>
      <c r="AG27" s="57">
        <v>1</v>
      </c>
      <c r="AH27" s="58">
        <f>SUM(C27:AG27)</f>
        <v>23</v>
      </c>
      <c r="AI27" s="59">
        <f>IFERROR(AH27/$AH$28,0)</f>
        <v>6.0686015831134567E-2</v>
      </c>
      <c r="AJ27" s="60">
        <f>IFERROR(AH27/COUNTIF($C$28:$AG$28,"&gt;0"),0)</f>
        <v>0.85185185185185186</v>
      </c>
    </row>
    <row r="28" spans="2:36" x14ac:dyDescent="0.25">
      <c r="B28" s="61" t="s">
        <v>50</v>
      </c>
      <c r="C28" s="62">
        <f t="shared" ref="C28:AH28" si="2">SUM(C23:C27)</f>
        <v>10</v>
      </c>
      <c r="D28" s="62">
        <f t="shared" si="2"/>
        <v>6</v>
      </c>
      <c r="E28" s="62">
        <f t="shared" si="2"/>
        <v>9</v>
      </c>
      <c r="F28" s="62">
        <f t="shared" si="2"/>
        <v>13</v>
      </c>
      <c r="G28" s="62">
        <f t="shared" si="2"/>
        <v>17</v>
      </c>
      <c r="H28" s="62">
        <f t="shared" si="2"/>
        <v>17</v>
      </c>
      <c r="I28" s="62">
        <f t="shared" si="2"/>
        <v>12</v>
      </c>
      <c r="J28" s="62">
        <f t="shared" si="2"/>
        <v>10</v>
      </c>
      <c r="K28" s="62">
        <f t="shared" si="2"/>
        <v>0</v>
      </c>
      <c r="L28" s="62">
        <f t="shared" si="2"/>
        <v>11</v>
      </c>
      <c r="M28" s="62">
        <f t="shared" si="2"/>
        <v>17</v>
      </c>
      <c r="N28" s="62">
        <f t="shared" si="2"/>
        <v>22</v>
      </c>
      <c r="O28" s="62">
        <f t="shared" si="2"/>
        <v>20</v>
      </c>
      <c r="P28" s="62">
        <f t="shared" si="2"/>
        <v>15</v>
      </c>
      <c r="Q28" s="62">
        <f t="shared" si="2"/>
        <v>9</v>
      </c>
      <c r="R28" s="62">
        <f t="shared" si="2"/>
        <v>0</v>
      </c>
      <c r="S28" s="62">
        <f t="shared" si="2"/>
        <v>10</v>
      </c>
      <c r="T28" s="62">
        <f t="shared" si="2"/>
        <v>21</v>
      </c>
      <c r="U28" s="62">
        <f t="shared" si="2"/>
        <v>21</v>
      </c>
      <c r="V28" s="62">
        <f t="shared" si="2"/>
        <v>19</v>
      </c>
      <c r="W28" s="62">
        <f t="shared" si="2"/>
        <v>12</v>
      </c>
      <c r="X28" s="62">
        <f t="shared" si="2"/>
        <v>4</v>
      </c>
      <c r="Y28" s="62">
        <f t="shared" si="2"/>
        <v>0</v>
      </c>
      <c r="Z28" s="62">
        <f t="shared" si="2"/>
        <v>12</v>
      </c>
      <c r="AA28" s="62">
        <f t="shared" si="2"/>
        <v>19</v>
      </c>
      <c r="AB28" s="62">
        <f t="shared" si="2"/>
        <v>19</v>
      </c>
      <c r="AC28" s="62">
        <f t="shared" si="2"/>
        <v>16</v>
      </c>
      <c r="AD28" s="62">
        <f t="shared" si="2"/>
        <v>10</v>
      </c>
      <c r="AE28" s="62">
        <f t="shared" si="2"/>
        <v>13</v>
      </c>
      <c r="AF28" s="62">
        <f t="shared" si="2"/>
        <v>0</v>
      </c>
      <c r="AG28" s="62">
        <f t="shared" si="2"/>
        <v>15</v>
      </c>
      <c r="AH28" s="62">
        <f t="shared" si="2"/>
        <v>379</v>
      </c>
      <c r="AI28" s="63">
        <f>IFERROR(AH28/AH28,0)</f>
        <v>1</v>
      </c>
      <c r="AJ28" s="64">
        <f>IFERROR(AH28/COUNTIF(C28:AG28,"&gt;0"),0)</f>
        <v>14.037037037037036</v>
      </c>
    </row>
    <row r="30" spans="2:36" ht="25.5" customHeight="1" x14ac:dyDescent="0.25">
      <c r="B30" s="111" t="s">
        <v>106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</row>
    <row r="31" spans="2:36" ht="15.75" customHeight="1" x14ac:dyDescent="0.25">
      <c r="B31" s="56" t="s">
        <v>45</v>
      </c>
      <c r="C31" s="57">
        <v>6</v>
      </c>
      <c r="D31" s="57">
        <v>4</v>
      </c>
      <c r="E31" s="57">
        <v>2</v>
      </c>
      <c r="F31" s="57">
        <v>8</v>
      </c>
      <c r="G31" s="57">
        <v>10</v>
      </c>
      <c r="H31" s="57">
        <v>8</v>
      </c>
      <c r="I31" s="57">
        <v>9</v>
      </c>
      <c r="J31" s="57">
        <v>9</v>
      </c>
      <c r="K31" s="57">
        <v>0</v>
      </c>
      <c r="L31" s="57">
        <v>6</v>
      </c>
      <c r="M31" s="57">
        <v>10</v>
      </c>
      <c r="N31" s="57">
        <v>11</v>
      </c>
      <c r="O31" s="57">
        <v>11</v>
      </c>
      <c r="P31" s="57">
        <v>9</v>
      </c>
      <c r="Q31" s="57">
        <v>6</v>
      </c>
      <c r="R31" s="57">
        <v>0</v>
      </c>
      <c r="S31" s="57">
        <v>5</v>
      </c>
      <c r="T31" s="57">
        <v>7</v>
      </c>
      <c r="U31" s="57">
        <v>15</v>
      </c>
      <c r="V31" s="57">
        <v>10</v>
      </c>
      <c r="W31" s="57">
        <v>13</v>
      </c>
      <c r="X31" s="57">
        <v>7</v>
      </c>
      <c r="Y31" s="57">
        <v>0</v>
      </c>
      <c r="Z31" s="57">
        <v>5</v>
      </c>
      <c r="AA31" s="57">
        <v>7</v>
      </c>
      <c r="AB31" s="57">
        <v>7</v>
      </c>
      <c r="AC31" s="57">
        <v>6</v>
      </c>
      <c r="AD31" s="57">
        <v>9</v>
      </c>
      <c r="AE31" s="57">
        <v>12</v>
      </c>
      <c r="AF31" s="57">
        <v>0</v>
      </c>
      <c r="AG31" s="57">
        <v>8</v>
      </c>
      <c r="AH31" s="58">
        <f>SUM(C31:AG31)</f>
        <v>220</v>
      </c>
      <c r="AI31" s="59">
        <f>IFERROR(AH31/$AH$36,0)</f>
        <v>0.46413502109704641</v>
      </c>
      <c r="AJ31" s="60">
        <f>IFERROR(AH31/COUNTIF($C$36:$AG$36,"&gt;0"),0)</f>
        <v>8.1481481481481488</v>
      </c>
    </row>
    <row r="32" spans="2:36" ht="15.75" customHeight="1" x14ac:dyDescent="0.25">
      <c r="B32" s="56" t="s">
        <v>46</v>
      </c>
      <c r="C32" s="57">
        <v>2</v>
      </c>
      <c r="D32" s="57">
        <v>3</v>
      </c>
      <c r="E32" s="57">
        <v>2</v>
      </c>
      <c r="F32" s="57">
        <v>3</v>
      </c>
      <c r="G32" s="57">
        <v>3</v>
      </c>
      <c r="H32" s="57">
        <v>3</v>
      </c>
      <c r="I32" s="57">
        <v>4</v>
      </c>
      <c r="J32" s="57">
        <v>2</v>
      </c>
      <c r="K32" s="57">
        <v>0</v>
      </c>
      <c r="L32" s="57">
        <v>1</v>
      </c>
      <c r="M32" s="57">
        <v>3</v>
      </c>
      <c r="N32" s="57">
        <v>3</v>
      </c>
      <c r="O32" s="57">
        <v>3</v>
      </c>
      <c r="P32" s="57">
        <v>0</v>
      </c>
      <c r="Q32" s="57">
        <v>4</v>
      </c>
      <c r="R32" s="57">
        <v>0</v>
      </c>
      <c r="S32" s="57">
        <v>3</v>
      </c>
      <c r="T32" s="57">
        <v>2</v>
      </c>
      <c r="U32" s="57">
        <v>2</v>
      </c>
      <c r="V32" s="57">
        <v>2</v>
      </c>
      <c r="W32" s="57">
        <v>0</v>
      </c>
      <c r="X32" s="57">
        <v>3</v>
      </c>
      <c r="Y32" s="57">
        <v>0</v>
      </c>
      <c r="Z32" s="57">
        <v>0</v>
      </c>
      <c r="AA32" s="57">
        <v>2</v>
      </c>
      <c r="AB32" s="57">
        <v>3</v>
      </c>
      <c r="AC32" s="57">
        <v>1</v>
      </c>
      <c r="AD32" s="57">
        <v>4</v>
      </c>
      <c r="AE32" s="57">
        <v>0</v>
      </c>
      <c r="AF32" s="57">
        <v>0</v>
      </c>
      <c r="AG32" s="57">
        <v>0</v>
      </c>
      <c r="AH32" s="58">
        <f>SUM(C32:AG32)</f>
        <v>58</v>
      </c>
      <c r="AI32" s="59">
        <f>IFERROR(AH32/$AH$36,0)</f>
        <v>0.12236286919831224</v>
      </c>
      <c r="AJ32" s="60">
        <f>IFERROR(AH32/COUNTIF($C$36:$AG$36,"&gt;0"),0)</f>
        <v>2.1481481481481484</v>
      </c>
    </row>
    <row r="33" spans="2:36" ht="15.75" customHeight="1" x14ac:dyDescent="0.25">
      <c r="B33" s="40" t="s">
        <v>47</v>
      </c>
      <c r="C33" s="57"/>
      <c r="D33" s="57">
        <v>1</v>
      </c>
      <c r="E33" s="57">
        <v>0</v>
      </c>
      <c r="F33" s="57">
        <v>1</v>
      </c>
      <c r="G33" s="57">
        <v>1</v>
      </c>
      <c r="H33" s="57">
        <v>1</v>
      </c>
      <c r="I33" s="57">
        <v>0</v>
      </c>
      <c r="J33" s="57">
        <v>0</v>
      </c>
      <c r="K33" s="57">
        <v>0</v>
      </c>
      <c r="L33" s="57">
        <v>1</v>
      </c>
      <c r="M33" s="57">
        <v>0</v>
      </c>
      <c r="N33" s="57">
        <v>0</v>
      </c>
      <c r="O33" s="57">
        <v>1</v>
      </c>
      <c r="P33" s="57">
        <v>0</v>
      </c>
      <c r="Q33" s="57">
        <v>0</v>
      </c>
      <c r="R33" s="57">
        <v>0</v>
      </c>
      <c r="S33" s="57">
        <v>1</v>
      </c>
      <c r="T33" s="57">
        <v>0</v>
      </c>
      <c r="U33" s="57">
        <v>0</v>
      </c>
      <c r="V33" s="57">
        <v>1</v>
      </c>
      <c r="W33" s="57">
        <v>0</v>
      </c>
      <c r="X33" s="57">
        <v>0</v>
      </c>
      <c r="Y33" s="57">
        <v>0</v>
      </c>
      <c r="Z33" s="57">
        <v>0</v>
      </c>
      <c r="AA33" s="57">
        <v>0</v>
      </c>
      <c r="AB33" s="57">
        <v>0</v>
      </c>
      <c r="AC33" s="57">
        <v>0</v>
      </c>
      <c r="AD33" s="57">
        <v>0</v>
      </c>
      <c r="AE33" s="57">
        <v>0</v>
      </c>
      <c r="AF33" s="57">
        <v>0</v>
      </c>
      <c r="AG33" s="57">
        <v>0</v>
      </c>
      <c r="AH33" s="58">
        <f>SUM(C33:AG33)</f>
        <v>8</v>
      </c>
      <c r="AI33" s="59">
        <f>IFERROR(AH33/$AH$36,0)</f>
        <v>1.6877637130801686E-2</v>
      </c>
      <c r="AJ33" s="60">
        <f>IFERROR(AH33/COUNTIF($C$36:$AG$36,"&gt;0"),0)</f>
        <v>0.29629629629629628</v>
      </c>
    </row>
    <row r="34" spans="2:36" ht="15.75" customHeight="1" x14ac:dyDescent="0.25">
      <c r="B34" s="40" t="s">
        <v>48</v>
      </c>
      <c r="C34" s="57">
        <v>1</v>
      </c>
      <c r="D34" s="57">
        <v>1</v>
      </c>
      <c r="E34" s="57">
        <v>11</v>
      </c>
      <c r="F34" s="57">
        <v>9</v>
      </c>
      <c r="G34" s="57">
        <v>9</v>
      </c>
      <c r="H34" s="57">
        <v>12</v>
      </c>
      <c r="I34" s="57">
        <v>12</v>
      </c>
      <c r="J34" s="57">
        <v>5</v>
      </c>
      <c r="K34" s="57">
        <v>0</v>
      </c>
      <c r="L34" s="57">
        <v>7</v>
      </c>
      <c r="M34" s="57">
        <v>5</v>
      </c>
      <c r="N34" s="57">
        <v>9</v>
      </c>
      <c r="O34" s="57">
        <v>4</v>
      </c>
      <c r="P34" s="57">
        <v>8</v>
      </c>
      <c r="Q34" s="57">
        <v>2</v>
      </c>
      <c r="R34" s="57">
        <v>0</v>
      </c>
      <c r="S34" s="57">
        <v>8</v>
      </c>
      <c r="T34" s="57">
        <v>6</v>
      </c>
      <c r="U34" s="57">
        <v>3</v>
      </c>
      <c r="V34" s="57">
        <v>5</v>
      </c>
      <c r="W34" s="57">
        <v>6</v>
      </c>
      <c r="X34" s="57">
        <v>7</v>
      </c>
      <c r="Y34" s="57">
        <v>0</v>
      </c>
      <c r="Z34" s="57">
        <v>10</v>
      </c>
      <c r="AA34" s="57">
        <v>5</v>
      </c>
      <c r="AB34" s="57">
        <v>1</v>
      </c>
      <c r="AC34" s="57">
        <v>3</v>
      </c>
      <c r="AD34" s="57">
        <v>4</v>
      </c>
      <c r="AE34" s="57">
        <v>3</v>
      </c>
      <c r="AF34" s="57">
        <v>0</v>
      </c>
      <c r="AG34" s="57">
        <v>10</v>
      </c>
      <c r="AH34" s="58">
        <f>SUM(C34:AG34)</f>
        <v>166</v>
      </c>
      <c r="AI34" s="59">
        <f>IFERROR(AH34/$AH$36,0)</f>
        <v>0.35021097046413502</v>
      </c>
      <c r="AJ34" s="60">
        <f>IFERROR(AH34/COUNTIF($C$36:$AG$36,"&gt;0"),0)</f>
        <v>6.1481481481481479</v>
      </c>
    </row>
    <row r="35" spans="2:36" ht="15.75" customHeight="1" x14ac:dyDescent="0.25">
      <c r="B35" s="40" t="s">
        <v>49</v>
      </c>
      <c r="C35" s="57">
        <v>7</v>
      </c>
      <c r="D35" s="57">
        <v>0</v>
      </c>
      <c r="E35" s="57">
        <v>1</v>
      </c>
      <c r="F35" s="57">
        <v>0</v>
      </c>
      <c r="G35" s="57">
        <v>0</v>
      </c>
      <c r="H35" s="57">
        <v>1</v>
      </c>
      <c r="I35" s="57">
        <v>0</v>
      </c>
      <c r="J35" s="57">
        <v>0</v>
      </c>
      <c r="K35" s="57">
        <v>0</v>
      </c>
      <c r="L35" s="57">
        <v>1</v>
      </c>
      <c r="M35" s="57">
        <v>1</v>
      </c>
      <c r="N35" s="57">
        <v>2</v>
      </c>
      <c r="O35" s="57">
        <v>1</v>
      </c>
      <c r="P35" s="57">
        <v>0</v>
      </c>
      <c r="Q35" s="57">
        <v>0</v>
      </c>
      <c r="R35" s="57">
        <v>0</v>
      </c>
      <c r="S35" s="57">
        <v>1</v>
      </c>
      <c r="T35" s="57">
        <v>1</v>
      </c>
      <c r="U35" s="57">
        <v>0</v>
      </c>
      <c r="V35" s="57">
        <v>1</v>
      </c>
      <c r="W35" s="57">
        <v>0</v>
      </c>
      <c r="X35" s="57">
        <v>0</v>
      </c>
      <c r="Y35" s="57">
        <v>0</v>
      </c>
      <c r="Z35" s="57">
        <v>1</v>
      </c>
      <c r="AA35" s="57">
        <v>2</v>
      </c>
      <c r="AB35" s="57">
        <v>2</v>
      </c>
      <c r="AC35" s="57">
        <v>0</v>
      </c>
      <c r="AD35" s="57">
        <v>0</v>
      </c>
      <c r="AE35" s="57">
        <v>0</v>
      </c>
      <c r="AF35" s="57">
        <v>0</v>
      </c>
      <c r="AG35" s="57">
        <v>0</v>
      </c>
      <c r="AH35" s="58">
        <f>SUM(C35:AG35)</f>
        <v>22</v>
      </c>
      <c r="AI35" s="59">
        <f>IFERROR(AH35/$AH$36,0)</f>
        <v>4.6413502109704644E-2</v>
      </c>
      <c r="AJ35" s="60">
        <f>IFERROR(AH35/COUNTIF($C$36:$AG$36,"&gt;0"),0)</f>
        <v>0.81481481481481477</v>
      </c>
    </row>
    <row r="36" spans="2:36" x14ac:dyDescent="0.25">
      <c r="B36" s="61" t="s">
        <v>50</v>
      </c>
      <c r="C36" s="62">
        <f t="shared" ref="C36:AH36" si="3">SUM(C31:C35)</f>
        <v>16</v>
      </c>
      <c r="D36" s="62">
        <f t="shared" si="3"/>
        <v>9</v>
      </c>
      <c r="E36" s="62">
        <f t="shared" si="3"/>
        <v>16</v>
      </c>
      <c r="F36" s="62">
        <f t="shared" si="3"/>
        <v>21</v>
      </c>
      <c r="G36" s="62">
        <f t="shared" si="3"/>
        <v>23</v>
      </c>
      <c r="H36" s="62">
        <f t="shared" si="3"/>
        <v>25</v>
      </c>
      <c r="I36" s="62">
        <f t="shared" si="3"/>
        <v>25</v>
      </c>
      <c r="J36" s="62">
        <f t="shared" si="3"/>
        <v>16</v>
      </c>
      <c r="K36" s="62">
        <f t="shared" si="3"/>
        <v>0</v>
      </c>
      <c r="L36" s="62">
        <f t="shared" si="3"/>
        <v>16</v>
      </c>
      <c r="M36" s="62">
        <f t="shared" si="3"/>
        <v>19</v>
      </c>
      <c r="N36" s="62">
        <f t="shared" si="3"/>
        <v>25</v>
      </c>
      <c r="O36" s="62">
        <f t="shared" si="3"/>
        <v>20</v>
      </c>
      <c r="P36" s="62">
        <f t="shared" si="3"/>
        <v>17</v>
      </c>
      <c r="Q36" s="62">
        <f t="shared" si="3"/>
        <v>12</v>
      </c>
      <c r="R36" s="62">
        <f t="shared" si="3"/>
        <v>0</v>
      </c>
      <c r="S36" s="62">
        <f t="shared" si="3"/>
        <v>18</v>
      </c>
      <c r="T36" s="62">
        <f t="shared" si="3"/>
        <v>16</v>
      </c>
      <c r="U36" s="62">
        <f t="shared" si="3"/>
        <v>20</v>
      </c>
      <c r="V36" s="62">
        <f t="shared" si="3"/>
        <v>19</v>
      </c>
      <c r="W36" s="62">
        <f t="shared" si="3"/>
        <v>19</v>
      </c>
      <c r="X36" s="62">
        <f t="shared" si="3"/>
        <v>17</v>
      </c>
      <c r="Y36" s="62">
        <f t="shared" si="3"/>
        <v>0</v>
      </c>
      <c r="Z36" s="62">
        <f t="shared" si="3"/>
        <v>16</v>
      </c>
      <c r="AA36" s="62">
        <f t="shared" si="3"/>
        <v>16</v>
      </c>
      <c r="AB36" s="62">
        <f t="shared" si="3"/>
        <v>13</v>
      </c>
      <c r="AC36" s="62">
        <f t="shared" si="3"/>
        <v>10</v>
      </c>
      <c r="AD36" s="62">
        <f t="shared" si="3"/>
        <v>17</v>
      </c>
      <c r="AE36" s="62">
        <f t="shared" si="3"/>
        <v>15</v>
      </c>
      <c r="AF36" s="62">
        <f t="shared" si="3"/>
        <v>0</v>
      </c>
      <c r="AG36" s="62">
        <f t="shared" si="3"/>
        <v>18</v>
      </c>
      <c r="AH36" s="62">
        <f t="shared" si="3"/>
        <v>474</v>
      </c>
      <c r="AI36" s="63">
        <f>IFERROR(AH36/AH36,0)</f>
        <v>1</v>
      </c>
      <c r="AJ36" s="64">
        <f>IFERROR(AH36/COUNTIF(C36:AG36,"&gt;0"),0)</f>
        <v>17.555555555555557</v>
      </c>
    </row>
    <row r="38" spans="2:36" ht="25.5" customHeight="1" x14ac:dyDescent="0.25">
      <c r="B38" s="111" t="s">
        <v>107</v>
      </c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</row>
    <row r="39" spans="2:36" ht="15.75" customHeight="1" x14ac:dyDescent="0.25">
      <c r="B39" s="56" t="s">
        <v>45</v>
      </c>
      <c r="C39" s="57">
        <v>4</v>
      </c>
      <c r="D39" s="57">
        <v>0</v>
      </c>
      <c r="E39" s="57">
        <v>3</v>
      </c>
      <c r="F39" s="57">
        <v>6</v>
      </c>
      <c r="G39" s="57">
        <v>7</v>
      </c>
      <c r="H39" s="57">
        <v>7</v>
      </c>
      <c r="I39" s="57">
        <v>8</v>
      </c>
      <c r="J39" s="57">
        <v>6</v>
      </c>
      <c r="K39" s="57">
        <v>0</v>
      </c>
      <c r="L39" s="57">
        <v>4</v>
      </c>
      <c r="M39" s="57">
        <v>13</v>
      </c>
      <c r="N39" s="57">
        <v>3</v>
      </c>
      <c r="O39" s="57">
        <v>8</v>
      </c>
      <c r="P39" s="57">
        <v>11</v>
      </c>
      <c r="Q39" s="57">
        <v>0</v>
      </c>
      <c r="R39" s="57">
        <v>0</v>
      </c>
      <c r="S39" s="57">
        <v>5</v>
      </c>
      <c r="T39" s="57">
        <v>7</v>
      </c>
      <c r="U39" s="57">
        <v>5</v>
      </c>
      <c r="V39" s="57">
        <v>6</v>
      </c>
      <c r="W39" s="57">
        <v>4</v>
      </c>
      <c r="X39" s="57">
        <v>10</v>
      </c>
      <c r="Y39" s="57">
        <v>0</v>
      </c>
      <c r="Z39" s="57">
        <v>4</v>
      </c>
      <c r="AA39" s="57">
        <v>8</v>
      </c>
      <c r="AB39" s="57">
        <v>6</v>
      </c>
      <c r="AC39" s="57">
        <v>5</v>
      </c>
      <c r="AD39" s="57">
        <v>8</v>
      </c>
      <c r="AE39" s="57">
        <v>7</v>
      </c>
      <c r="AF39" s="57">
        <v>0</v>
      </c>
      <c r="AG39" s="57">
        <v>3</v>
      </c>
      <c r="AH39" s="58">
        <f>SUM(C39:AG39)</f>
        <v>158</v>
      </c>
      <c r="AI39" s="59">
        <f>IFERROR(AH39/$AH$44,0)</f>
        <v>0.41361256544502617</v>
      </c>
      <c r="AJ39" s="60">
        <f>IFERROR(AH39/COUNTIF($C$44:$AG$44,"&gt;0"),0)</f>
        <v>6.32</v>
      </c>
    </row>
    <row r="40" spans="2:36" ht="15.75" customHeight="1" x14ac:dyDescent="0.25">
      <c r="B40" s="56" t="s">
        <v>46</v>
      </c>
      <c r="C40" s="57">
        <v>3</v>
      </c>
      <c r="D40" s="57">
        <v>0</v>
      </c>
      <c r="E40" s="57">
        <v>0</v>
      </c>
      <c r="F40" s="57">
        <v>3</v>
      </c>
      <c r="G40" s="57">
        <v>0</v>
      </c>
      <c r="H40" s="57">
        <v>1</v>
      </c>
      <c r="I40" s="57">
        <v>2</v>
      </c>
      <c r="J40" s="57">
        <v>0</v>
      </c>
      <c r="K40" s="57">
        <v>0</v>
      </c>
      <c r="L40" s="57">
        <v>1</v>
      </c>
      <c r="M40" s="57">
        <v>1</v>
      </c>
      <c r="N40" s="57">
        <v>2</v>
      </c>
      <c r="O40" s="57">
        <v>0</v>
      </c>
      <c r="P40" s="57">
        <v>3</v>
      </c>
      <c r="Q40" s="57">
        <v>0</v>
      </c>
      <c r="R40" s="57">
        <v>0</v>
      </c>
      <c r="S40" s="57">
        <v>0</v>
      </c>
      <c r="T40" s="57">
        <v>1</v>
      </c>
      <c r="U40" s="57">
        <v>2</v>
      </c>
      <c r="V40" s="57">
        <v>0</v>
      </c>
      <c r="W40" s="57">
        <v>0</v>
      </c>
      <c r="X40" s="57">
        <v>2</v>
      </c>
      <c r="Y40" s="57">
        <v>0</v>
      </c>
      <c r="Z40" s="57">
        <v>0</v>
      </c>
      <c r="AA40" s="57">
        <v>0</v>
      </c>
      <c r="AB40" s="57">
        <v>2</v>
      </c>
      <c r="AC40" s="57">
        <v>1</v>
      </c>
      <c r="AD40" s="57">
        <v>0</v>
      </c>
      <c r="AE40" s="57">
        <v>1</v>
      </c>
      <c r="AF40" s="57">
        <v>0</v>
      </c>
      <c r="AG40" s="57">
        <v>1</v>
      </c>
      <c r="AH40" s="58">
        <f>SUM(C40:AG40)</f>
        <v>26</v>
      </c>
      <c r="AI40" s="59">
        <f>IFERROR(AH40/$AH$44,0)</f>
        <v>6.8062827225130892E-2</v>
      </c>
      <c r="AJ40" s="60">
        <f>IFERROR(AH40/COUNTIF($C$44:$AG$44,"&gt;0"),0)</f>
        <v>1.04</v>
      </c>
    </row>
    <row r="41" spans="2:36" ht="15.75" customHeight="1" x14ac:dyDescent="0.25">
      <c r="B41" s="40" t="s">
        <v>47</v>
      </c>
      <c r="C41" s="57">
        <v>2</v>
      </c>
      <c r="D41" s="57">
        <v>0</v>
      </c>
      <c r="E41" s="57">
        <v>3</v>
      </c>
      <c r="F41" s="57">
        <v>2</v>
      </c>
      <c r="G41" s="57">
        <v>1</v>
      </c>
      <c r="H41" s="57">
        <v>2</v>
      </c>
      <c r="I41" s="57">
        <v>2</v>
      </c>
      <c r="J41" s="57">
        <v>2</v>
      </c>
      <c r="K41" s="57">
        <v>0</v>
      </c>
      <c r="L41" s="57">
        <v>1</v>
      </c>
      <c r="M41" s="57">
        <v>2</v>
      </c>
      <c r="N41" s="57">
        <v>1</v>
      </c>
      <c r="O41" s="57">
        <v>1</v>
      </c>
      <c r="P41" s="57">
        <v>4</v>
      </c>
      <c r="Q41" s="57">
        <v>0</v>
      </c>
      <c r="R41" s="57">
        <v>0</v>
      </c>
      <c r="S41" s="57">
        <v>2</v>
      </c>
      <c r="T41" s="57">
        <v>1</v>
      </c>
      <c r="U41" s="57">
        <v>2</v>
      </c>
      <c r="V41" s="57">
        <v>1</v>
      </c>
      <c r="W41" s="57">
        <v>0</v>
      </c>
      <c r="X41" s="57">
        <v>0</v>
      </c>
      <c r="Y41" s="57">
        <v>0</v>
      </c>
      <c r="Z41" s="57">
        <v>2</v>
      </c>
      <c r="AA41" s="57">
        <v>2</v>
      </c>
      <c r="AB41" s="57">
        <v>3</v>
      </c>
      <c r="AC41" s="57">
        <v>0</v>
      </c>
      <c r="AD41" s="57">
        <v>1</v>
      </c>
      <c r="AE41" s="57">
        <v>0</v>
      </c>
      <c r="AF41" s="57">
        <v>0</v>
      </c>
      <c r="AG41" s="57">
        <v>4</v>
      </c>
      <c r="AH41" s="58">
        <f>SUM(C41:AG41)</f>
        <v>41</v>
      </c>
      <c r="AI41" s="59">
        <f>IFERROR(AH41/$AH$44,0)</f>
        <v>0.10732984293193717</v>
      </c>
      <c r="AJ41" s="60">
        <f>IFERROR(AH41/COUNTIF($C$44:$AG$44,"&gt;0"),0)</f>
        <v>1.64</v>
      </c>
    </row>
    <row r="42" spans="2:36" ht="15.75" customHeight="1" x14ac:dyDescent="0.25">
      <c r="B42" s="40" t="s">
        <v>48</v>
      </c>
      <c r="C42" s="57">
        <v>2</v>
      </c>
      <c r="D42" s="57">
        <v>0</v>
      </c>
      <c r="E42" s="57">
        <v>11</v>
      </c>
      <c r="F42" s="57">
        <v>6</v>
      </c>
      <c r="G42" s="57">
        <v>11</v>
      </c>
      <c r="H42" s="57">
        <v>7</v>
      </c>
      <c r="I42" s="57">
        <v>10</v>
      </c>
      <c r="J42" s="57">
        <v>5</v>
      </c>
      <c r="K42" s="57">
        <v>0</v>
      </c>
      <c r="L42" s="57">
        <v>5</v>
      </c>
      <c r="M42" s="57">
        <v>2</v>
      </c>
      <c r="N42" s="57">
        <v>4</v>
      </c>
      <c r="O42" s="57">
        <v>1</v>
      </c>
      <c r="P42" s="57">
        <v>5</v>
      </c>
      <c r="Q42" s="57">
        <v>0</v>
      </c>
      <c r="R42" s="57">
        <v>0</v>
      </c>
      <c r="S42" s="57">
        <v>5</v>
      </c>
      <c r="T42" s="57">
        <v>6</v>
      </c>
      <c r="U42" s="57">
        <v>1</v>
      </c>
      <c r="V42" s="57">
        <v>3</v>
      </c>
      <c r="W42" s="57">
        <v>9</v>
      </c>
      <c r="X42" s="57">
        <v>1</v>
      </c>
      <c r="Y42" s="57">
        <v>0</v>
      </c>
      <c r="Z42" s="57">
        <v>10</v>
      </c>
      <c r="AA42" s="57">
        <v>5</v>
      </c>
      <c r="AB42" s="57">
        <v>6</v>
      </c>
      <c r="AC42" s="57">
        <v>0</v>
      </c>
      <c r="AD42" s="57">
        <v>3</v>
      </c>
      <c r="AE42" s="57">
        <v>2</v>
      </c>
      <c r="AF42" s="57">
        <v>0</v>
      </c>
      <c r="AG42" s="57">
        <v>10</v>
      </c>
      <c r="AH42" s="58">
        <f>SUM(C42:AG42)</f>
        <v>130</v>
      </c>
      <c r="AI42" s="59">
        <f>IFERROR(AH42/$AH$44,0)</f>
        <v>0.34031413612565448</v>
      </c>
      <c r="AJ42" s="60">
        <f>IFERROR(AH42/COUNTIF($C$44:$AG$44,"&gt;0"),0)</f>
        <v>5.2</v>
      </c>
    </row>
    <row r="43" spans="2:36" ht="15.75" customHeight="1" x14ac:dyDescent="0.25">
      <c r="B43" s="40" t="s">
        <v>49</v>
      </c>
      <c r="C43" s="57">
        <v>1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1</v>
      </c>
      <c r="J43" s="57">
        <v>0</v>
      </c>
      <c r="K43" s="57">
        <v>0</v>
      </c>
      <c r="L43" s="57">
        <v>0</v>
      </c>
      <c r="M43" s="57">
        <v>1</v>
      </c>
      <c r="N43" s="57">
        <v>2</v>
      </c>
      <c r="O43" s="57">
        <v>0</v>
      </c>
      <c r="P43" s="57">
        <v>1</v>
      </c>
      <c r="Q43" s="57">
        <v>0</v>
      </c>
      <c r="R43" s="57">
        <v>0</v>
      </c>
      <c r="S43" s="57">
        <v>0</v>
      </c>
      <c r="T43" s="57">
        <v>0</v>
      </c>
      <c r="U43" s="57">
        <v>1</v>
      </c>
      <c r="V43" s="57">
        <v>3</v>
      </c>
      <c r="W43" s="57">
        <v>2</v>
      </c>
      <c r="X43" s="57">
        <v>0</v>
      </c>
      <c r="Y43" s="57">
        <v>0</v>
      </c>
      <c r="Z43" s="57">
        <v>1</v>
      </c>
      <c r="AA43" s="57">
        <v>3</v>
      </c>
      <c r="AB43" s="57">
        <v>0</v>
      </c>
      <c r="AC43" s="57">
        <v>3</v>
      </c>
      <c r="AD43" s="57">
        <v>4</v>
      </c>
      <c r="AE43" s="57">
        <v>2</v>
      </c>
      <c r="AF43" s="57">
        <v>0</v>
      </c>
      <c r="AG43" s="57">
        <v>2</v>
      </c>
      <c r="AH43" s="58">
        <f>SUM(C43:AG43)</f>
        <v>27</v>
      </c>
      <c r="AI43" s="59">
        <f>IFERROR(AH43/$AH$44,0)</f>
        <v>7.0680628272251314E-2</v>
      </c>
      <c r="AJ43" s="60">
        <f>IFERROR(AH43/COUNTIF($C$44:$AG$44,"&gt;0"),0)</f>
        <v>1.08</v>
      </c>
    </row>
    <row r="44" spans="2:36" x14ac:dyDescent="0.25">
      <c r="B44" s="61" t="s">
        <v>50</v>
      </c>
      <c r="C44" s="62">
        <f t="shared" ref="C44:AH44" si="4">SUM(C39:C43)</f>
        <v>12</v>
      </c>
      <c r="D44" s="62">
        <f t="shared" si="4"/>
        <v>0</v>
      </c>
      <c r="E44" s="62">
        <f t="shared" si="4"/>
        <v>17</v>
      </c>
      <c r="F44" s="62">
        <f t="shared" si="4"/>
        <v>17</v>
      </c>
      <c r="G44" s="62">
        <f t="shared" si="4"/>
        <v>19</v>
      </c>
      <c r="H44" s="62">
        <f t="shared" si="4"/>
        <v>17</v>
      </c>
      <c r="I44" s="62">
        <f t="shared" si="4"/>
        <v>23</v>
      </c>
      <c r="J44" s="62">
        <f t="shared" si="4"/>
        <v>13</v>
      </c>
      <c r="K44" s="62">
        <f t="shared" si="4"/>
        <v>0</v>
      </c>
      <c r="L44" s="62">
        <f t="shared" si="4"/>
        <v>11</v>
      </c>
      <c r="M44" s="62">
        <f t="shared" si="4"/>
        <v>19</v>
      </c>
      <c r="N44" s="62">
        <f t="shared" si="4"/>
        <v>12</v>
      </c>
      <c r="O44" s="62">
        <f t="shared" si="4"/>
        <v>10</v>
      </c>
      <c r="P44" s="62">
        <f t="shared" si="4"/>
        <v>24</v>
      </c>
      <c r="Q44" s="62">
        <f t="shared" si="4"/>
        <v>0</v>
      </c>
      <c r="R44" s="62">
        <f t="shared" si="4"/>
        <v>0</v>
      </c>
      <c r="S44" s="62">
        <f t="shared" si="4"/>
        <v>12</v>
      </c>
      <c r="T44" s="62">
        <f t="shared" si="4"/>
        <v>15</v>
      </c>
      <c r="U44" s="62">
        <f t="shared" si="4"/>
        <v>11</v>
      </c>
      <c r="V44" s="62">
        <f t="shared" si="4"/>
        <v>13</v>
      </c>
      <c r="W44" s="62">
        <f t="shared" si="4"/>
        <v>15</v>
      </c>
      <c r="X44" s="62">
        <f t="shared" si="4"/>
        <v>13</v>
      </c>
      <c r="Y44" s="62">
        <v>0</v>
      </c>
      <c r="Z44" s="62">
        <f t="shared" si="4"/>
        <v>17</v>
      </c>
      <c r="AA44" s="62">
        <f t="shared" si="4"/>
        <v>18</v>
      </c>
      <c r="AB44" s="62">
        <f t="shared" si="4"/>
        <v>17</v>
      </c>
      <c r="AC44" s="62">
        <f t="shared" si="4"/>
        <v>9</v>
      </c>
      <c r="AD44" s="62">
        <f t="shared" si="4"/>
        <v>16</v>
      </c>
      <c r="AE44" s="62">
        <f t="shared" si="4"/>
        <v>12</v>
      </c>
      <c r="AF44" s="62">
        <f t="shared" si="4"/>
        <v>0</v>
      </c>
      <c r="AG44" s="62">
        <f t="shared" si="4"/>
        <v>20</v>
      </c>
      <c r="AH44" s="62">
        <f t="shared" si="4"/>
        <v>382</v>
      </c>
      <c r="AI44" s="63">
        <f>IFERROR(AH44/AH44,0)</f>
        <v>1</v>
      </c>
      <c r="AJ44" s="64">
        <f>IFERROR(AH44/COUNTIF(C44:AG44,"&gt;0"),0)</f>
        <v>15.28</v>
      </c>
    </row>
    <row r="46" spans="2:36" ht="25.5" customHeight="1" x14ac:dyDescent="0.25">
      <c r="B46" s="111" t="s">
        <v>108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</row>
    <row r="47" spans="2:36" ht="15.75" customHeight="1" x14ac:dyDescent="0.25">
      <c r="B47" s="56" t="s">
        <v>45</v>
      </c>
      <c r="C47" s="57">
        <v>3</v>
      </c>
      <c r="D47" s="57">
        <v>0</v>
      </c>
      <c r="E47" s="57">
        <v>0</v>
      </c>
      <c r="F47" s="57">
        <v>2</v>
      </c>
      <c r="G47" s="57">
        <v>0</v>
      </c>
      <c r="H47" s="57">
        <v>3</v>
      </c>
      <c r="I47" s="57">
        <v>0</v>
      </c>
      <c r="J47" s="57">
        <v>0</v>
      </c>
      <c r="K47" s="57">
        <v>0</v>
      </c>
      <c r="L47" s="57">
        <v>3</v>
      </c>
      <c r="M47" s="57">
        <v>3</v>
      </c>
      <c r="N47" s="57">
        <v>1</v>
      </c>
      <c r="O47" s="57">
        <v>3</v>
      </c>
      <c r="P47" s="57">
        <v>0</v>
      </c>
      <c r="Q47" s="57">
        <v>3</v>
      </c>
      <c r="R47" s="57">
        <v>0</v>
      </c>
      <c r="S47" s="57">
        <v>0</v>
      </c>
      <c r="T47" s="57">
        <v>2</v>
      </c>
      <c r="U47" s="57">
        <v>1</v>
      </c>
      <c r="V47" s="57">
        <v>2</v>
      </c>
      <c r="W47" s="57">
        <v>0</v>
      </c>
      <c r="X47" s="57">
        <v>3</v>
      </c>
      <c r="Y47" s="57">
        <v>0</v>
      </c>
      <c r="Z47" s="57">
        <v>0</v>
      </c>
      <c r="AA47" s="57">
        <v>4</v>
      </c>
      <c r="AB47" s="57">
        <v>0</v>
      </c>
      <c r="AC47" s="57">
        <v>3</v>
      </c>
      <c r="AD47" s="57">
        <v>0</v>
      </c>
      <c r="AE47" s="57">
        <v>3</v>
      </c>
      <c r="AF47" s="57"/>
      <c r="AG47" s="57"/>
      <c r="AH47" s="58">
        <f>SUM(C47:AG47)</f>
        <v>39</v>
      </c>
      <c r="AI47" s="59">
        <f>IFERROR(AH47/$AH$52,0)</f>
        <v>0.39795918367346939</v>
      </c>
      <c r="AJ47" s="60">
        <f>IFERROR(AH47/COUNTIF($C$52:$AG$52,"&gt;0"),0)</f>
        <v>1.625</v>
      </c>
    </row>
    <row r="48" spans="2:36" ht="15.75" customHeight="1" x14ac:dyDescent="0.25">
      <c r="B48" s="56" t="s">
        <v>46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57">
        <v>0</v>
      </c>
      <c r="Q48" s="57">
        <v>0</v>
      </c>
      <c r="R48" s="57">
        <v>0</v>
      </c>
      <c r="S48" s="57">
        <v>0</v>
      </c>
      <c r="T48" s="57">
        <v>0</v>
      </c>
      <c r="U48" s="57">
        <v>0</v>
      </c>
      <c r="V48" s="57">
        <v>0</v>
      </c>
      <c r="W48" s="57">
        <v>0</v>
      </c>
      <c r="X48" s="57">
        <v>0</v>
      </c>
      <c r="Y48" s="57">
        <v>0</v>
      </c>
      <c r="Z48" s="57">
        <v>0</v>
      </c>
      <c r="AA48" s="57">
        <v>0</v>
      </c>
      <c r="AB48" s="57">
        <v>0</v>
      </c>
      <c r="AC48" s="57">
        <v>0</v>
      </c>
      <c r="AD48" s="57">
        <v>0</v>
      </c>
      <c r="AE48" s="57">
        <v>0</v>
      </c>
      <c r="AF48" s="57"/>
      <c r="AG48" s="57"/>
      <c r="AH48" s="58">
        <f>SUM(C48:AG48)</f>
        <v>0</v>
      </c>
      <c r="AI48" s="59">
        <f>IFERROR(AH48/$AH$52,0)</f>
        <v>0</v>
      </c>
      <c r="AJ48" s="60">
        <f>IFERROR(AH48/COUNTIF($C$52:$AG$52,"&gt;0"),0)</f>
        <v>0</v>
      </c>
    </row>
    <row r="49" spans="2:36" ht="15.75" customHeight="1" x14ac:dyDescent="0.25">
      <c r="B49" s="40" t="s">
        <v>47</v>
      </c>
      <c r="C49" s="57">
        <v>1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7">
        <v>1</v>
      </c>
      <c r="M49" s="57">
        <v>0</v>
      </c>
      <c r="N49" s="57">
        <v>0</v>
      </c>
      <c r="O49" s="57">
        <v>0</v>
      </c>
      <c r="P49" s="57">
        <v>0</v>
      </c>
      <c r="Q49" s="57">
        <v>1</v>
      </c>
      <c r="R49" s="57">
        <v>0</v>
      </c>
      <c r="S49" s="57">
        <v>0</v>
      </c>
      <c r="T49" s="57">
        <v>1</v>
      </c>
      <c r="U49" s="57">
        <v>1</v>
      </c>
      <c r="V49" s="57">
        <v>1</v>
      </c>
      <c r="W49" s="57">
        <v>0</v>
      </c>
      <c r="X49" s="57">
        <v>2</v>
      </c>
      <c r="Y49" s="57">
        <v>0</v>
      </c>
      <c r="Z49" s="57">
        <v>2</v>
      </c>
      <c r="AA49" s="57">
        <v>3</v>
      </c>
      <c r="AB49" s="57">
        <v>1</v>
      </c>
      <c r="AC49" s="57">
        <v>1</v>
      </c>
      <c r="AD49" s="57">
        <v>2</v>
      </c>
      <c r="AE49" s="57">
        <v>0</v>
      </c>
      <c r="AF49" s="57"/>
      <c r="AG49" s="57"/>
      <c r="AH49" s="58">
        <f>SUM(C49:AG49)</f>
        <v>17</v>
      </c>
      <c r="AI49" s="59">
        <f>IFERROR(AH49/$AH$52,0)</f>
        <v>0.17346938775510204</v>
      </c>
      <c r="AJ49" s="60">
        <f>IFERROR(AH49/COUNTIF($C$52:$AG$52,"&gt;0"),0)</f>
        <v>0.70833333333333337</v>
      </c>
    </row>
    <row r="50" spans="2:36" ht="15.75" customHeight="1" x14ac:dyDescent="0.25">
      <c r="B50" s="40" t="s">
        <v>48</v>
      </c>
      <c r="C50" s="57">
        <v>2</v>
      </c>
      <c r="D50" s="57">
        <v>0</v>
      </c>
      <c r="E50" s="57">
        <v>5</v>
      </c>
      <c r="F50" s="57">
        <v>3</v>
      </c>
      <c r="G50" s="57">
        <v>2</v>
      </c>
      <c r="H50" s="57">
        <v>2</v>
      </c>
      <c r="I50" s="57">
        <v>5</v>
      </c>
      <c r="J50" s="57">
        <v>0</v>
      </c>
      <c r="K50" s="57">
        <v>0</v>
      </c>
      <c r="L50" s="57">
        <v>0</v>
      </c>
      <c r="M50" s="57">
        <v>0</v>
      </c>
      <c r="N50" s="57">
        <v>1</v>
      </c>
      <c r="O50" s="57">
        <v>3</v>
      </c>
      <c r="P50" s="57">
        <v>3</v>
      </c>
      <c r="Q50" s="57">
        <v>0</v>
      </c>
      <c r="R50" s="57">
        <v>0</v>
      </c>
      <c r="S50" s="57">
        <v>2</v>
      </c>
      <c r="T50" s="57">
        <v>3</v>
      </c>
      <c r="U50" s="57">
        <v>0</v>
      </c>
      <c r="V50" s="57">
        <v>0</v>
      </c>
      <c r="W50" s="57">
        <v>3</v>
      </c>
      <c r="X50" s="57">
        <v>0</v>
      </c>
      <c r="Y50" s="57">
        <v>0</v>
      </c>
      <c r="Z50" s="57">
        <v>3</v>
      </c>
      <c r="AA50" s="57">
        <v>0</v>
      </c>
      <c r="AB50" s="57">
        <v>1</v>
      </c>
      <c r="AC50" s="57">
        <v>1</v>
      </c>
      <c r="AD50" s="57">
        <v>1</v>
      </c>
      <c r="AE50" s="57">
        <v>2</v>
      </c>
      <c r="AF50" s="57"/>
      <c r="AG50" s="57"/>
      <c r="AH50" s="58">
        <f>SUM(C50:AG50)</f>
        <v>42</v>
      </c>
      <c r="AI50" s="59">
        <f>IFERROR(AH50/$AH$52,0)</f>
        <v>0.42857142857142855</v>
      </c>
      <c r="AJ50" s="60">
        <f>IFERROR(AH50/COUNTIF($C$52:$AG$52,"&gt;0"),0)</f>
        <v>1.75</v>
      </c>
    </row>
    <row r="51" spans="2:36" ht="15.75" customHeight="1" x14ac:dyDescent="0.25">
      <c r="B51" s="40" t="s">
        <v>49</v>
      </c>
      <c r="C51" s="57">
        <v>0</v>
      </c>
      <c r="D51" s="57">
        <v>0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7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57">
        <v>0</v>
      </c>
      <c r="Q51" s="57">
        <v>0</v>
      </c>
      <c r="R51" s="57">
        <v>0</v>
      </c>
      <c r="S51" s="57">
        <v>0</v>
      </c>
      <c r="T51" s="57">
        <v>0</v>
      </c>
      <c r="U51" s="57">
        <v>0</v>
      </c>
      <c r="V51" s="57">
        <v>0</v>
      </c>
      <c r="W51" s="57">
        <v>0</v>
      </c>
      <c r="X51" s="57">
        <v>0</v>
      </c>
      <c r="Y51" s="57">
        <v>0</v>
      </c>
      <c r="Z51" s="57">
        <v>0</v>
      </c>
      <c r="AA51" s="57">
        <v>0</v>
      </c>
      <c r="AB51" s="57">
        <v>0</v>
      </c>
      <c r="AC51" s="57">
        <v>0</v>
      </c>
      <c r="AD51" s="57">
        <v>0</v>
      </c>
      <c r="AE51" s="57">
        <v>0</v>
      </c>
      <c r="AF51" s="57"/>
      <c r="AG51" s="57"/>
      <c r="AH51" s="58">
        <f>SUM(C51:AG51)</f>
        <v>0</v>
      </c>
      <c r="AI51" s="59">
        <f>IFERROR(AH51/$AH$52,0)</f>
        <v>0</v>
      </c>
      <c r="AJ51" s="60">
        <f>IFERROR(AH51/COUNTIF($C$52:$AG$52,"&gt;0"),0)</f>
        <v>0</v>
      </c>
    </row>
    <row r="52" spans="2:36" x14ac:dyDescent="0.25">
      <c r="B52" s="61" t="s">
        <v>50</v>
      </c>
      <c r="C52" s="62">
        <f t="shared" ref="C52:AH52" si="5">SUM(C47:C51)</f>
        <v>6</v>
      </c>
      <c r="D52" s="62">
        <f t="shared" si="5"/>
        <v>0</v>
      </c>
      <c r="E52" s="62">
        <f t="shared" si="5"/>
        <v>5</v>
      </c>
      <c r="F52" s="62">
        <f t="shared" si="5"/>
        <v>5</v>
      </c>
      <c r="G52" s="62">
        <f t="shared" si="5"/>
        <v>2</v>
      </c>
      <c r="H52" s="62">
        <f t="shared" si="5"/>
        <v>5</v>
      </c>
      <c r="I52" s="62">
        <f t="shared" si="5"/>
        <v>5</v>
      </c>
      <c r="J52" s="62">
        <f t="shared" si="5"/>
        <v>0</v>
      </c>
      <c r="K52" s="62">
        <f t="shared" si="5"/>
        <v>0</v>
      </c>
      <c r="L52" s="62">
        <f t="shared" si="5"/>
        <v>4</v>
      </c>
      <c r="M52" s="62">
        <f t="shared" si="5"/>
        <v>3</v>
      </c>
      <c r="N52" s="62">
        <f t="shared" si="5"/>
        <v>2</v>
      </c>
      <c r="O52" s="62">
        <f t="shared" si="5"/>
        <v>6</v>
      </c>
      <c r="P52" s="62">
        <f t="shared" si="5"/>
        <v>3</v>
      </c>
      <c r="Q52" s="62">
        <f t="shared" si="5"/>
        <v>4</v>
      </c>
      <c r="R52" s="62">
        <f t="shared" si="5"/>
        <v>0</v>
      </c>
      <c r="S52" s="62">
        <f t="shared" si="5"/>
        <v>2</v>
      </c>
      <c r="T52" s="62">
        <f t="shared" si="5"/>
        <v>6</v>
      </c>
      <c r="U52" s="62">
        <f t="shared" si="5"/>
        <v>2</v>
      </c>
      <c r="V52" s="62">
        <f t="shared" si="5"/>
        <v>3</v>
      </c>
      <c r="W52" s="62">
        <f t="shared" si="5"/>
        <v>3</v>
      </c>
      <c r="X52" s="62">
        <f t="shared" si="5"/>
        <v>5</v>
      </c>
      <c r="Y52" s="62">
        <f t="shared" si="5"/>
        <v>0</v>
      </c>
      <c r="Z52" s="62">
        <f t="shared" si="5"/>
        <v>5</v>
      </c>
      <c r="AA52" s="62">
        <f t="shared" si="5"/>
        <v>7</v>
      </c>
      <c r="AB52" s="62">
        <f t="shared" si="5"/>
        <v>2</v>
      </c>
      <c r="AC52" s="62">
        <f t="shared" si="5"/>
        <v>5</v>
      </c>
      <c r="AD52" s="62">
        <f t="shared" si="5"/>
        <v>3</v>
      </c>
      <c r="AE52" s="62">
        <f t="shared" si="5"/>
        <v>5</v>
      </c>
      <c r="AF52" s="62">
        <f t="shared" si="5"/>
        <v>0</v>
      </c>
      <c r="AG52" s="62">
        <f t="shared" si="5"/>
        <v>0</v>
      </c>
      <c r="AH52" s="62">
        <f t="shared" si="5"/>
        <v>98</v>
      </c>
      <c r="AI52" s="63">
        <f>IFERROR(AH52/AH52,0)</f>
        <v>1</v>
      </c>
      <c r="AJ52" s="64">
        <f>IFERROR(AH52/COUNTIF(C52:AG52,"&gt;0"),0)</f>
        <v>4.083333333333333</v>
      </c>
    </row>
    <row r="54" spans="2:36" ht="21.75" customHeight="1" x14ac:dyDescent="0.25">
      <c r="B54" s="112" t="s">
        <v>109</v>
      </c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</row>
    <row r="55" spans="2:36" x14ac:dyDescent="0.25">
      <c r="B55" s="56" t="s">
        <v>45</v>
      </c>
      <c r="C55" s="47">
        <f t="shared" ref="C55:AG55" si="6">C7+C15+C23+C31+C39+C47</f>
        <v>40</v>
      </c>
      <c r="D55" s="47">
        <f t="shared" si="6"/>
        <v>17</v>
      </c>
      <c r="E55" s="47">
        <f t="shared" si="6"/>
        <v>25</v>
      </c>
      <c r="F55" s="47">
        <f t="shared" si="6"/>
        <v>46</v>
      </c>
      <c r="G55" s="47">
        <f t="shared" si="6"/>
        <v>50</v>
      </c>
      <c r="H55" s="47">
        <f t="shared" si="6"/>
        <v>44</v>
      </c>
      <c r="I55" s="47">
        <f t="shared" si="6"/>
        <v>46</v>
      </c>
      <c r="J55" s="47">
        <f t="shared" si="6"/>
        <v>46</v>
      </c>
      <c r="K55" s="47">
        <f t="shared" si="6"/>
        <v>0</v>
      </c>
      <c r="L55" s="47">
        <f t="shared" si="6"/>
        <v>23</v>
      </c>
      <c r="M55" s="47">
        <f t="shared" si="6"/>
        <v>56</v>
      </c>
      <c r="N55" s="47">
        <f t="shared" si="6"/>
        <v>50</v>
      </c>
      <c r="O55" s="47">
        <f t="shared" si="6"/>
        <v>54</v>
      </c>
      <c r="P55" s="47">
        <f t="shared" si="6"/>
        <v>49</v>
      </c>
      <c r="Q55" s="47">
        <f t="shared" si="6"/>
        <v>34</v>
      </c>
      <c r="R55" s="47">
        <f t="shared" si="6"/>
        <v>0</v>
      </c>
      <c r="S55" s="47">
        <f t="shared" si="6"/>
        <v>25</v>
      </c>
      <c r="T55" s="47">
        <f t="shared" si="6"/>
        <v>45</v>
      </c>
      <c r="U55" s="47">
        <f t="shared" si="6"/>
        <v>52</v>
      </c>
      <c r="V55" s="47">
        <f t="shared" si="6"/>
        <v>52</v>
      </c>
      <c r="W55" s="47">
        <f t="shared" si="6"/>
        <v>46</v>
      </c>
      <c r="X55" s="47">
        <f t="shared" si="6"/>
        <v>44</v>
      </c>
      <c r="Y55" s="47">
        <f t="shared" si="6"/>
        <v>0</v>
      </c>
      <c r="Z55" s="47">
        <f t="shared" si="6"/>
        <v>28</v>
      </c>
      <c r="AA55" s="47">
        <f t="shared" si="6"/>
        <v>46</v>
      </c>
      <c r="AB55" s="47">
        <f t="shared" si="6"/>
        <v>52</v>
      </c>
      <c r="AC55" s="47">
        <f t="shared" si="6"/>
        <v>46</v>
      </c>
      <c r="AD55" s="47">
        <f t="shared" si="6"/>
        <v>44</v>
      </c>
      <c r="AE55" s="47">
        <f t="shared" si="6"/>
        <v>53</v>
      </c>
      <c r="AF55" s="47">
        <f t="shared" si="6"/>
        <v>0</v>
      </c>
      <c r="AG55" s="47">
        <f t="shared" si="6"/>
        <v>25</v>
      </c>
      <c r="AH55" s="49">
        <f>SUM(C55:AG55)</f>
        <v>1138</v>
      </c>
      <c r="AI55" s="65">
        <f>IFERROR(AH55/$AH$60,0)</f>
        <v>0.48220338983050848</v>
      </c>
      <c r="AJ55" s="66">
        <f>IFERROR(AH55/COUNTIF($C$60:$AG$60,"&gt;0"),0)</f>
        <v>42.148148148148145</v>
      </c>
    </row>
    <row r="56" spans="2:36" x14ac:dyDescent="0.25">
      <c r="B56" s="56" t="s">
        <v>46</v>
      </c>
      <c r="C56" s="47">
        <f t="shared" ref="C56:AG56" si="7">C8+C16+C24+C32+C40+C48</f>
        <v>8</v>
      </c>
      <c r="D56" s="47">
        <f t="shared" si="7"/>
        <v>7</v>
      </c>
      <c r="E56" s="47">
        <f t="shared" si="7"/>
        <v>4</v>
      </c>
      <c r="F56" s="47">
        <f t="shared" si="7"/>
        <v>13</v>
      </c>
      <c r="G56" s="47">
        <f t="shared" si="7"/>
        <v>12</v>
      </c>
      <c r="H56" s="47">
        <f t="shared" si="7"/>
        <v>13</v>
      </c>
      <c r="I56" s="47">
        <f t="shared" si="7"/>
        <v>12</v>
      </c>
      <c r="J56" s="47">
        <f t="shared" si="7"/>
        <v>5</v>
      </c>
      <c r="K56" s="47">
        <f t="shared" si="7"/>
        <v>0</v>
      </c>
      <c r="L56" s="47">
        <f t="shared" si="7"/>
        <v>3</v>
      </c>
      <c r="M56" s="47">
        <f t="shared" si="7"/>
        <v>12</v>
      </c>
      <c r="N56" s="47">
        <f t="shared" si="7"/>
        <v>9</v>
      </c>
      <c r="O56" s="47">
        <f t="shared" si="7"/>
        <v>11</v>
      </c>
      <c r="P56" s="47">
        <f t="shared" si="7"/>
        <v>9</v>
      </c>
      <c r="Q56" s="47">
        <f t="shared" si="7"/>
        <v>9</v>
      </c>
      <c r="R56" s="47">
        <f t="shared" si="7"/>
        <v>0</v>
      </c>
      <c r="S56" s="47">
        <f t="shared" si="7"/>
        <v>6</v>
      </c>
      <c r="T56" s="47">
        <f t="shared" si="7"/>
        <v>11</v>
      </c>
      <c r="U56" s="47">
        <f t="shared" si="7"/>
        <v>7</v>
      </c>
      <c r="V56" s="47">
        <f t="shared" si="7"/>
        <v>5</v>
      </c>
      <c r="W56" s="47">
        <f t="shared" si="7"/>
        <v>4</v>
      </c>
      <c r="X56" s="47">
        <f t="shared" si="7"/>
        <v>11</v>
      </c>
      <c r="Y56" s="47">
        <f t="shared" si="7"/>
        <v>0</v>
      </c>
      <c r="Z56" s="47">
        <f t="shared" si="7"/>
        <v>3</v>
      </c>
      <c r="AA56" s="47">
        <f t="shared" si="7"/>
        <v>10</v>
      </c>
      <c r="AB56" s="47">
        <f t="shared" si="7"/>
        <v>9</v>
      </c>
      <c r="AC56" s="47">
        <f t="shared" si="7"/>
        <v>7</v>
      </c>
      <c r="AD56" s="47">
        <f t="shared" si="7"/>
        <v>7</v>
      </c>
      <c r="AE56" s="47">
        <f t="shared" si="7"/>
        <v>9</v>
      </c>
      <c r="AF56" s="47">
        <f t="shared" si="7"/>
        <v>0</v>
      </c>
      <c r="AG56" s="47">
        <f t="shared" si="7"/>
        <v>5</v>
      </c>
      <c r="AH56" s="49">
        <f>SUM(C56:AG56)</f>
        <v>221</v>
      </c>
      <c r="AI56" s="65">
        <f>IFERROR(AH56/$AH$60,0)</f>
        <v>9.3644067796610164E-2</v>
      </c>
      <c r="AJ56" s="66">
        <f>IFERROR(AH56/COUNTIF($C$60:$AG$60,"&gt;0"),0)</f>
        <v>8.1851851851851851</v>
      </c>
    </row>
    <row r="57" spans="2:36" x14ac:dyDescent="0.25">
      <c r="B57" s="56" t="s">
        <v>47</v>
      </c>
      <c r="C57" s="47">
        <f t="shared" ref="C57:AG57" si="8">C9+C17+C25+C33+C41+C49</f>
        <v>4</v>
      </c>
      <c r="D57" s="47">
        <f t="shared" si="8"/>
        <v>1</v>
      </c>
      <c r="E57" s="47">
        <f t="shared" si="8"/>
        <v>11</v>
      </c>
      <c r="F57" s="47">
        <f t="shared" si="8"/>
        <v>10</v>
      </c>
      <c r="G57" s="47">
        <f t="shared" si="8"/>
        <v>7</v>
      </c>
      <c r="H57" s="47">
        <f t="shared" si="8"/>
        <v>6</v>
      </c>
      <c r="I57" s="47">
        <f t="shared" si="8"/>
        <v>8</v>
      </c>
      <c r="J57" s="47">
        <f t="shared" si="8"/>
        <v>4</v>
      </c>
      <c r="K57" s="47">
        <f t="shared" si="8"/>
        <v>0</v>
      </c>
      <c r="L57" s="47">
        <f t="shared" si="8"/>
        <v>5</v>
      </c>
      <c r="M57" s="47">
        <f t="shared" si="8"/>
        <v>8</v>
      </c>
      <c r="N57" s="47">
        <f t="shared" si="8"/>
        <v>7</v>
      </c>
      <c r="O57" s="47">
        <f t="shared" si="8"/>
        <v>4</v>
      </c>
      <c r="P57" s="47">
        <f t="shared" si="8"/>
        <v>5</v>
      </c>
      <c r="Q57" s="47">
        <f t="shared" si="8"/>
        <v>1</v>
      </c>
      <c r="R57" s="47">
        <f t="shared" si="8"/>
        <v>0</v>
      </c>
      <c r="S57" s="47">
        <f t="shared" si="8"/>
        <v>5</v>
      </c>
      <c r="T57" s="47">
        <f t="shared" si="8"/>
        <v>7</v>
      </c>
      <c r="U57" s="47">
        <f t="shared" si="8"/>
        <v>7</v>
      </c>
      <c r="V57" s="47">
        <f t="shared" si="8"/>
        <v>5</v>
      </c>
      <c r="W57" s="47">
        <f t="shared" si="8"/>
        <v>4</v>
      </c>
      <c r="X57" s="47">
        <f t="shared" si="8"/>
        <v>2</v>
      </c>
      <c r="Y57" s="47">
        <f t="shared" si="8"/>
        <v>0</v>
      </c>
      <c r="Z57" s="47">
        <f t="shared" si="8"/>
        <v>8</v>
      </c>
      <c r="AA57" s="47">
        <f t="shared" si="8"/>
        <v>8</v>
      </c>
      <c r="AB57" s="47">
        <f t="shared" si="8"/>
        <v>6</v>
      </c>
      <c r="AC57" s="47">
        <f t="shared" si="8"/>
        <v>7</v>
      </c>
      <c r="AD57" s="47">
        <f t="shared" si="8"/>
        <v>6</v>
      </c>
      <c r="AE57" s="47">
        <f t="shared" si="8"/>
        <v>1</v>
      </c>
      <c r="AF57" s="47">
        <f t="shared" si="8"/>
        <v>0</v>
      </c>
      <c r="AG57" s="47">
        <f t="shared" si="8"/>
        <v>8</v>
      </c>
      <c r="AH57" s="49">
        <f>SUM(C57:AG57)</f>
        <v>155</v>
      </c>
      <c r="AI57" s="65">
        <f>IFERROR(AH57/$AH$60,0)</f>
        <v>6.5677966101694921E-2</v>
      </c>
      <c r="AJ57" s="66">
        <f>IFERROR(AH57/COUNTIF($C$60:$AG$60,"&gt;0"),0)</f>
        <v>5.7407407407407405</v>
      </c>
    </row>
    <row r="58" spans="2:36" x14ac:dyDescent="0.25">
      <c r="B58" s="56" t="s">
        <v>48</v>
      </c>
      <c r="C58" s="47">
        <f t="shared" ref="C58:AG58" si="9">C10+C18+C26+C34+C42+C50</f>
        <v>11</v>
      </c>
      <c r="D58" s="47">
        <f t="shared" si="9"/>
        <v>2</v>
      </c>
      <c r="E58" s="47">
        <f t="shared" si="9"/>
        <v>40</v>
      </c>
      <c r="F58" s="47">
        <f t="shared" si="9"/>
        <v>41</v>
      </c>
      <c r="G58" s="47">
        <f t="shared" si="9"/>
        <v>45</v>
      </c>
      <c r="H58" s="47">
        <f t="shared" si="9"/>
        <v>42</v>
      </c>
      <c r="I58" s="47">
        <f t="shared" si="9"/>
        <v>48</v>
      </c>
      <c r="J58" s="47">
        <f t="shared" si="9"/>
        <v>26</v>
      </c>
      <c r="K58" s="47">
        <f t="shared" si="9"/>
        <v>0</v>
      </c>
      <c r="L58" s="47">
        <f t="shared" si="9"/>
        <v>17</v>
      </c>
      <c r="M58" s="47">
        <f t="shared" si="9"/>
        <v>25</v>
      </c>
      <c r="N58" s="47">
        <f t="shared" si="9"/>
        <v>32</v>
      </c>
      <c r="O58" s="47">
        <f t="shared" si="9"/>
        <v>17</v>
      </c>
      <c r="P58" s="47">
        <f t="shared" si="9"/>
        <v>30</v>
      </c>
      <c r="Q58" s="47">
        <f t="shared" si="9"/>
        <v>13</v>
      </c>
      <c r="R58" s="47">
        <f t="shared" si="9"/>
        <v>0</v>
      </c>
      <c r="S58" s="47">
        <f t="shared" si="9"/>
        <v>29</v>
      </c>
      <c r="T58" s="47">
        <f t="shared" si="9"/>
        <v>36</v>
      </c>
      <c r="U58" s="47">
        <f t="shared" si="9"/>
        <v>23</v>
      </c>
      <c r="V58" s="47">
        <f t="shared" si="9"/>
        <v>16</v>
      </c>
      <c r="W58" s="47">
        <f t="shared" si="9"/>
        <v>29</v>
      </c>
      <c r="X58" s="47">
        <f t="shared" si="9"/>
        <v>19</v>
      </c>
      <c r="Y58" s="47">
        <f t="shared" si="9"/>
        <v>0</v>
      </c>
      <c r="Z58" s="47">
        <f t="shared" si="9"/>
        <v>40</v>
      </c>
      <c r="AA58" s="47">
        <f t="shared" si="9"/>
        <v>33</v>
      </c>
      <c r="AB58" s="47">
        <f t="shared" si="9"/>
        <v>21</v>
      </c>
      <c r="AC58" s="47">
        <f t="shared" si="9"/>
        <v>16</v>
      </c>
      <c r="AD58" s="47">
        <f t="shared" si="9"/>
        <v>19</v>
      </c>
      <c r="AE58" s="47">
        <f t="shared" si="9"/>
        <v>15</v>
      </c>
      <c r="AF58" s="47">
        <f t="shared" si="9"/>
        <v>0</v>
      </c>
      <c r="AG58" s="47">
        <f t="shared" si="9"/>
        <v>35</v>
      </c>
      <c r="AH58" s="49">
        <f>SUM(C58:AG58)</f>
        <v>720</v>
      </c>
      <c r="AI58" s="65">
        <f>IFERROR(AH58/$AH$60,0)</f>
        <v>0.30508474576271188</v>
      </c>
      <c r="AJ58" s="66">
        <f>IFERROR(AH58/COUNTIF($C$60:$AG$60,"&gt;0"),0)</f>
        <v>26.666666666666668</v>
      </c>
    </row>
    <row r="59" spans="2:36" x14ac:dyDescent="0.25">
      <c r="B59" s="56" t="s">
        <v>49</v>
      </c>
      <c r="C59" s="47">
        <f t="shared" ref="C59:AG59" si="10">C11+C19+C27+C35+C43+C51</f>
        <v>12</v>
      </c>
      <c r="D59" s="47">
        <f t="shared" si="10"/>
        <v>1</v>
      </c>
      <c r="E59" s="47">
        <f t="shared" si="10"/>
        <v>7</v>
      </c>
      <c r="F59" s="47">
        <f t="shared" si="10"/>
        <v>2</v>
      </c>
      <c r="G59" s="47">
        <f t="shared" si="10"/>
        <v>2</v>
      </c>
      <c r="H59" s="47">
        <f t="shared" si="10"/>
        <v>7</v>
      </c>
      <c r="I59" s="47">
        <f t="shared" si="10"/>
        <v>3</v>
      </c>
      <c r="J59" s="47">
        <f t="shared" si="10"/>
        <v>1</v>
      </c>
      <c r="K59" s="47">
        <f t="shared" si="10"/>
        <v>0</v>
      </c>
      <c r="L59" s="47">
        <f t="shared" si="10"/>
        <v>2</v>
      </c>
      <c r="M59" s="47">
        <f t="shared" si="10"/>
        <v>4</v>
      </c>
      <c r="N59" s="47">
        <f t="shared" si="10"/>
        <v>5</v>
      </c>
      <c r="O59" s="47">
        <f t="shared" si="10"/>
        <v>5</v>
      </c>
      <c r="P59" s="47">
        <f t="shared" si="10"/>
        <v>3</v>
      </c>
      <c r="Q59" s="47">
        <f t="shared" si="10"/>
        <v>0</v>
      </c>
      <c r="R59" s="47">
        <f t="shared" si="10"/>
        <v>0</v>
      </c>
      <c r="S59" s="47">
        <f t="shared" si="10"/>
        <v>4</v>
      </c>
      <c r="T59" s="47">
        <f t="shared" si="10"/>
        <v>5</v>
      </c>
      <c r="U59" s="47">
        <f t="shared" si="10"/>
        <v>8</v>
      </c>
      <c r="V59" s="47">
        <f t="shared" si="10"/>
        <v>8</v>
      </c>
      <c r="W59" s="47">
        <f t="shared" si="10"/>
        <v>3</v>
      </c>
      <c r="X59" s="47">
        <f t="shared" si="10"/>
        <v>0</v>
      </c>
      <c r="Y59" s="47">
        <f t="shared" si="10"/>
        <v>0</v>
      </c>
      <c r="Z59" s="47">
        <f t="shared" si="10"/>
        <v>8</v>
      </c>
      <c r="AA59" s="47">
        <f t="shared" si="10"/>
        <v>7</v>
      </c>
      <c r="AB59" s="47">
        <f t="shared" si="10"/>
        <v>4</v>
      </c>
      <c r="AC59" s="47">
        <f t="shared" si="10"/>
        <v>6</v>
      </c>
      <c r="AD59" s="47">
        <f t="shared" si="10"/>
        <v>7</v>
      </c>
      <c r="AE59" s="47">
        <f t="shared" si="10"/>
        <v>2</v>
      </c>
      <c r="AF59" s="47">
        <f t="shared" si="10"/>
        <v>0</v>
      </c>
      <c r="AG59" s="47">
        <f t="shared" si="10"/>
        <v>10</v>
      </c>
      <c r="AH59" s="49">
        <f>SUM(C59:AG59)</f>
        <v>126</v>
      </c>
      <c r="AI59" s="65">
        <f>IFERROR(AH59/$AH$60,0)</f>
        <v>5.3389830508474574E-2</v>
      </c>
      <c r="AJ59" s="66">
        <f>IFERROR(AH59/COUNTIF($C$60:$AG$60,"&gt;0"),0)</f>
        <v>4.666666666666667</v>
      </c>
    </row>
    <row r="60" spans="2:36" x14ac:dyDescent="0.25">
      <c r="B60" s="50" t="s">
        <v>52</v>
      </c>
      <c r="C60" s="51">
        <f t="shared" ref="C60:AH60" si="11">SUM(C55:C59)</f>
        <v>75</v>
      </c>
      <c r="D60" s="51">
        <f t="shared" si="11"/>
        <v>28</v>
      </c>
      <c r="E60" s="51">
        <f t="shared" si="11"/>
        <v>87</v>
      </c>
      <c r="F60" s="51">
        <f t="shared" si="11"/>
        <v>112</v>
      </c>
      <c r="G60" s="51">
        <f t="shared" si="11"/>
        <v>116</v>
      </c>
      <c r="H60" s="51">
        <f t="shared" si="11"/>
        <v>112</v>
      </c>
      <c r="I60" s="51">
        <f t="shared" si="11"/>
        <v>117</v>
      </c>
      <c r="J60" s="51">
        <f t="shared" si="11"/>
        <v>82</v>
      </c>
      <c r="K60" s="51">
        <f t="shared" si="11"/>
        <v>0</v>
      </c>
      <c r="L60" s="51">
        <f t="shared" si="11"/>
        <v>50</v>
      </c>
      <c r="M60" s="51">
        <f t="shared" si="11"/>
        <v>105</v>
      </c>
      <c r="N60" s="51">
        <f t="shared" si="11"/>
        <v>103</v>
      </c>
      <c r="O60" s="51">
        <f t="shared" si="11"/>
        <v>91</v>
      </c>
      <c r="P60" s="51">
        <f t="shared" si="11"/>
        <v>96</v>
      </c>
      <c r="Q60" s="51">
        <f t="shared" si="11"/>
        <v>57</v>
      </c>
      <c r="R60" s="51">
        <f t="shared" si="11"/>
        <v>0</v>
      </c>
      <c r="S60" s="51">
        <f t="shared" si="11"/>
        <v>69</v>
      </c>
      <c r="T60" s="51">
        <f t="shared" si="11"/>
        <v>104</v>
      </c>
      <c r="U60" s="51">
        <f t="shared" si="11"/>
        <v>97</v>
      </c>
      <c r="V60" s="51">
        <f t="shared" si="11"/>
        <v>86</v>
      </c>
      <c r="W60" s="51">
        <f t="shared" si="11"/>
        <v>86</v>
      </c>
      <c r="X60" s="51">
        <f t="shared" si="11"/>
        <v>76</v>
      </c>
      <c r="Y60" s="51">
        <f t="shared" si="11"/>
        <v>0</v>
      </c>
      <c r="Z60" s="51">
        <f t="shared" si="11"/>
        <v>87</v>
      </c>
      <c r="AA60" s="51">
        <f t="shared" si="11"/>
        <v>104</v>
      </c>
      <c r="AB60" s="51">
        <f t="shared" si="11"/>
        <v>92</v>
      </c>
      <c r="AC60" s="51">
        <f t="shared" si="11"/>
        <v>82</v>
      </c>
      <c r="AD60" s="51">
        <f t="shared" si="11"/>
        <v>83</v>
      </c>
      <c r="AE60" s="51">
        <f t="shared" si="11"/>
        <v>80</v>
      </c>
      <c r="AF60" s="51">
        <f t="shared" si="11"/>
        <v>0</v>
      </c>
      <c r="AG60" s="51">
        <f t="shared" si="11"/>
        <v>83</v>
      </c>
      <c r="AH60" s="51">
        <f t="shared" si="11"/>
        <v>2360</v>
      </c>
      <c r="AI60" s="67">
        <f>IFERROR(AH60/AH60,0)</f>
        <v>1</v>
      </c>
      <c r="AJ60" s="68">
        <f>IFERROR(AH60/COUNTIF(C60:AG60,"&gt;0"),0)</f>
        <v>87.407407407407405</v>
      </c>
    </row>
    <row r="62" spans="2:36" x14ac:dyDescent="0.25">
      <c r="B62" s="69" t="s">
        <v>110</v>
      </c>
    </row>
    <row r="63" spans="2:36" x14ac:dyDescent="0.25">
      <c r="B63" s="70" t="s">
        <v>111</v>
      </c>
    </row>
    <row r="64" spans="2:36" x14ac:dyDescent="0.25">
      <c r="B64" s="70" t="s">
        <v>112</v>
      </c>
    </row>
    <row r="65" spans="2:2" x14ac:dyDescent="0.25">
      <c r="B65" s="70" t="s">
        <v>113</v>
      </c>
    </row>
    <row r="66" spans="2:2" x14ac:dyDescent="0.25">
      <c r="B66" s="70" t="s">
        <v>114</v>
      </c>
    </row>
  </sheetData>
  <mergeCells count="12">
    <mergeCell ref="B46:AJ46"/>
    <mergeCell ref="B54:AJ54"/>
    <mergeCell ref="B6:AJ6"/>
    <mergeCell ref="B14:AJ14"/>
    <mergeCell ref="B22:AJ22"/>
    <mergeCell ref="B30:AJ30"/>
    <mergeCell ref="B38:AJ38"/>
    <mergeCell ref="B1:AJ1"/>
    <mergeCell ref="B2:AJ2"/>
    <mergeCell ref="AH4:AH5"/>
    <mergeCell ref="AI4:AI5"/>
    <mergeCell ref="AJ4:AJ5"/>
  </mergeCells>
  <dataValidations count="1">
    <dataValidation type="whole" operator="greaterThanOrEqual" allowBlank="1" showErrorMessage="1" errorTitle="Valor inválido" error="Informe um número inteiro maior ou igual a zero (ou deixe a célula em branco)." sqref="C7:AG11 C15:AG19 C23:AG27 C31:AG35 C39:AG43 C47:AG51" xr:uid="{00000000-0002-0000-0400-000000000000}">
      <formula1>0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F17"/>
  <sheetViews>
    <sheetView showGridLines="0" zoomScaleNormal="100" workbookViewId="0">
      <selection activeCell="D10" sqref="D10"/>
    </sheetView>
  </sheetViews>
  <sheetFormatPr defaultColWidth="8.7109375" defaultRowHeight="15" x14ac:dyDescent="0.25"/>
  <cols>
    <col min="1" max="1" width="2" customWidth="1"/>
    <col min="2" max="2" width="26" customWidth="1"/>
    <col min="3" max="6" width="17" customWidth="1"/>
    <col min="7" max="7" width="3" customWidth="1"/>
    <col min="8" max="8" width="22" customWidth="1"/>
  </cols>
  <sheetData>
    <row r="1" spans="2:6" ht="30" customHeight="1" x14ac:dyDescent="0.25">
      <c r="B1" s="99" t="s">
        <v>120</v>
      </c>
      <c r="C1" s="99"/>
      <c r="D1" s="99"/>
      <c r="E1" s="99"/>
      <c r="F1" s="99"/>
    </row>
    <row r="2" spans="2:6" ht="15.75" customHeight="1" x14ac:dyDescent="0.25">
      <c r="B2" s="100" t="s">
        <v>121</v>
      </c>
      <c r="C2" s="100"/>
      <c r="D2" s="100"/>
      <c r="E2" s="100"/>
      <c r="F2" s="100"/>
    </row>
    <row r="4" spans="2:6" ht="19.5" customHeight="1" x14ac:dyDescent="0.25">
      <c r="B4" s="95" t="s">
        <v>122</v>
      </c>
      <c r="C4" s="95"/>
      <c r="D4" s="95"/>
      <c r="E4" s="95"/>
      <c r="F4" s="95"/>
    </row>
    <row r="5" spans="2:6" ht="31.5" customHeight="1" x14ac:dyDescent="0.25">
      <c r="B5" s="32" t="s">
        <v>24</v>
      </c>
      <c r="C5" s="32" t="s">
        <v>123</v>
      </c>
      <c r="D5" s="32" t="s">
        <v>124</v>
      </c>
      <c r="E5" s="32" t="s">
        <v>125</v>
      </c>
      <c r="F5" s="32" t="s">
        <v>126</v>
      </c>
    </row>
    <row r="6" spans="2:6" ht="25.5" customHeight="1" x14ac:dyDescent="0.25">
      <c r="B6" s="74" t="s">
        <v>34</v>
      </c>
      <c r="C6" s="75">
        <v>47</v>
      </c>
      <c r="D6" s="75">
        <v>9</v>
      </c>
      <c r="E6" s="34">
        <f t="shared" ref="E6:E11" si="0">SUM(C6:D6)</f>
        <v>56</v>
      </c>
      <c r="F6" s="9">
        <f t="shared" ref="F6:F11" si="1">IFERROR(E6/$E$12,0)</f>
        <v>0.39160839160839161</v>
      </c>
    </row>
    <row r="7" spans="2:6" ht="25.5" customHeight="1" x14ac:dyDescent="0.25">
      <c r="B7" s="74" t="s">
        <v>35</v>
      </c>
      <c r="C7" s="75">
        <v>12</v>
      </c>
      <c r="D7" s="75">
        <v>0</v>
      </c>
      <c r="E7" s="34">
        <f t="shared" si="0"/>
        <v>12</v>
      </c>
      <c r="F7" s="9">
        <f t="shared" si="1"/>
        <v>8.3916083916083919E-2</v>
      </c>
    </row>
    <row r="8" spans="2:6" ht="25.5" customHeight="1" x14ac:dyDescent="0.25">
      <c r="B8" s="74" t="s">
        <v>36</v>
      </c>
      <c r="C8" s="75">
        <v>20</v>
      </c>
      <c r="D8" s="75">
        <v>3</v>
      </c>
      <c r="E8" s="34">
        <f t="shared" si="0"/>
        <v>23</v>
      </c>
      <c r="F8" s="9">
        <f t="shared" si="1"/>
        <v>0.16083916083916083</v>
      </c>
    </row>
    <row r="9" spans="2:6" ht="25.5" customHeight="1" x14ac:dyDescent="0.25">
      <c r="B9" s="74" t="s">
        <v>37</v>
      </c>
      <c r="C9" s="75">
        <v>26</v>
      </c>
      <c r="D9" s="75">
        <v>1</v>
      </c>
      <c r="E9" s="34">
        <f t="shared" si="0"/>
        <v>27</v>
      </c>
      <c r="F9" s="9">
        <f t="shared" si="1"/>
        <v>0.1888111888111888</v>
      </c>
    </row>
    <row r="10" spans="2:6" ht="25.5" customHeight="1" x14ac:dyDescent="0.25">
      <c r="B10" s="74" t="s">
        <v>38</v>
      </c>
      <c r="C10" s="75">
        <v>20</v>
      </c>
      <c r="D10" s="75">
        <v>1</v>
      </c>
      <c r="E10" s="34">
        <f t="shared" si="0"/>
        <v>21</v>
      </c>
      <c r="F10" s="9">
        <f t="shared" si="1"/>
        <v>0.14685314685314685</v>
      </c>
    </row>
    <row r="11" spans="2:6" ht="25.5" customHeight="1" x14ac:dyDescent="0.25">
      <c r="B11" s="74" t="s">
        <v>39</v>
      </c>
      <c r="C11" s="75">
        <v>3</v>
      </c>
      <c r="D11" s="75">
        <v>1</v>
      </c>
      <c r="E11" s="34">
        <f t="shared" si="0"/>
        <v>4</v>
      </c>
      <c r="F11" s="9">
        <f t="shared" si="1"/>
        <v>2.7972027972027972E-2</v>
      </c>
    </row>
    <row r="12" spans="2:6" x14ac:dyDescent="0.25">
      <c r="B12" s="27" t="s">
        <v>50</v>
      </c>
      <c r="C12" s="28">
        <f>SUM(C6:C11)</f>
        <v>128</v>
      </c>
      <c r="D12" s="28">
        <f>SUM(D6:D11)</f>
        <v>15</v>
      </c>
      <c r="E12" s="28">
        <f>SUM(E6:E11)</f>
        <v>143</v>
      </c>
      <c r="F12" s="29">
        <f>IFERROR(E12/E12,0)</f>
        <v>1</v>
      </c>
    </row>
    <row r="14" spans="2:6" x14ac:dyDescent="0.25">
      <c r="B14" s="76" t="s">
        <v>127</v>
      </c>
    </row>
    <row r="15" spans="2:6" x14ac:dyDescent="0.25">
      <c r="B15" s="77" t="s">
        <v>128</v>
      </c>
    </row>
    <row r="16" spans="2:6" x14ac:dyDescent="0.25">
      <c r="B16" s="77" t="s">
        <v>129</v>
      </c>
    </row>
    <row r="17" spans="2:2" x14ac:dyDescent="0.25">
      <c r="B17" s="77" t="s">
        <v>130</v>
      </c>
    </row>
  </sheetData>
  <mergeCells count="3">
    <mergeCell ref="B1:F1"/>
    <mergeCell ref="B2:F2"/>
    <mergeCell ref="B4:F4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H93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2" customWidth="1"/>
    <col min="2" max="2" width="12" customWidth="1"/>
    <col min="3" max="3" width="8" customWidth="1"/>
    <col min="4" max="4" width="10" customWidth="1"/>
    <col min="5" max="5" width="18" customWidth="1"/>
    <col min="6" max="6" width="24" customWidth="1"/>
    <col min="7" max="8" width="16" customWidth="1"/>
  </cols>
  <sheetData>
    <row r="1" spans="2:8" ht="30" customHeight="1" x14ac:dyDescent="0.25">
      <c r="B1" s="99" t="s">
        <v>115</v>
      </c>
      <c r="C1" s="99"/>
      <c r="D1" s="99"/>
      <c r="E1" s="99"/>
      <c r="F1" s="99"/>
      <c r="G1" s="99"/>
      <c r="H1" s="99"/>
    </row>
    <row r="2" spans="2:8" ht="15.75" customHeight="1" x14ac:dyDescent="0.25">
      <c r="B2" s="100" t="s">
        <v>116</v>
      </c>
      <c r="C2" s="100"/>
      <c r="D2" s="100"/>
      <c r="E2" s="100"/>
      <c r="F2" s="100"/>
      <c r="G2" s="100"/>
      <c r="H2" s="100"/>
    </row>
    <row r="4" spans="2:8" ht="31.5" customHeight="1" x14ac:dyDescent="0.25">
      <c r="B4" s="32" t="s">
        <v>117</v>
      </c>
      <c r="C4" s="32" t="s">
        <v>91</v>
      </c>
      <c r="D4" s="32" t="s">
        <v>95</v>
      </c>
      <c r="E4" s="32" t="s">
        <v>24</v>
      </c>
      <c r="F4" s="32" t="s">
        <v>82</v>
      </c>
      <c r="G4" s="32" t="s">
        <v>118</v>
      </c>
      <c r="H4" s="32" t="s">
        <v>119</v>
      </c>
    </row>
    <row r="5" spans="2:8" x14ac:dyDescent="0.25">
      <c r="B5" s="71">
        <v>46235</v>
      </c>
      <c r="C5" s="72">
        <v>1</v>
      </c>
      <c r="D5" s="72" t="s">
        <v>96</v>
      </c>
      <c r="E5" s="73" t="s">
        <v>34</v>
      </c>
      <c r="F5" s="73" t="s">
        <v>45</v>
      </c>
      <c r="G5" s="72" t="s">
        <v>84</v>
      </c>
      <c r="H5" s="47">
        <f>IF('Lançamento Diário'!C7="","",'Lançamento Diário'!C7)</f>
        <v>15</v>
      </c>
    </row>
    <row r="6" spans="2:8" x14ac:dyDescent="0.25">
      <c r="B6" s="71">
        <v>46236</v>
      </c>
      <c r="C6" s="72">
        <v>2</v>
      </c>
      <c r="D6" s="72" t="s">
        <v>97</v>
      </c>
      <c r="E6" s="73" t="s">
        <v>34</v>
      </c>
      <c r="F6" s="73" t="s">
        <v>45</v>
      </c>
      <c r="G6" s="72" t="s">
        <v>84</v>
      </c>
      <c r="H6" s="47">
        <f>IF('Lançamento Diário'!D7="","",'Lançamento Diário'!D7)</f>
        <v>9</v>
      </c>
    </row>
    <row r="7" spans="2:8" x14ac:dyDescent="0.25">
      <c r="B7" s="71">
        <v>46237</v>
      </c>
      <c r="C7" s="72">
        <v>3</v>
      </c>
      <c r="D7" s="72" t="s">
        <v>98</v>
      </c>
      <c r="E7" s="73" t="s">
        <v>34</v>
      </c>
      <c r="F7" s="73" t="s">
        <v>45</v>
      </c>
      <c r="G7" s="72" t="s">
        <v>84</v>
      </c>
      <c r="H7" s="47">
        <f>IF('Lançamento Diário'!E7="","",'Lançamento Diário'!E7)</f>
        <v>12</v>
      </c>
    </row>
    <row r="8" spans="2:8" x14ac:dyDescent="0.25">
      <c r="B8" s="71">
        <v>46238</v>
      </c>
      <c r="C8" s="72">
        <v>4</v>
      </c>
      <c r="D8" s="72" t="s">
        <v>99</v>
      </c>
      <c r="E8" s="73" t="s">
        <v>34</v>
      </c>
      <c r="F8" s="73" t="s">
        <v>45</v>
      </c>
      <c r="G8" s="72" t="s">
        <v>84</v>
      </c>
      <c r="H8" s="47">
        <f>IF('Lançamento Diário'!F7="","",'Lançamento Diário'!F7)</f>
        <v>17</v>
      </c>
    </row>
    <row r="9" spans="2:8" x14ac:dyDescent="0.25">
      <c r="B9" s="71">
        <v>46239</v>
      </c>
      <c r="C9" s="72">
        <v>5</v>
      </c>
      <c r="D9" s="72" t="s">
        <v>100</v>
      </c>
      <c r="E9" s="73" t="s">
        <v>34</v>
      </c>
      <c r="F9" s="73" t="s">
        <v>45</v>
      </c>
      <c r="G9" s="72" t="s">
        <v>84</v>
      </c>
      <c r="H9" s="47">
        <f>IF('Lançamento Diário'!G7="","",'Lançamento Diário'!G7)</f>
        <v>20</v>
      </c>
    </row>
    <row r="10" spans="2:8" x14ac:dyDescent="0.25">
      <c r="B10" s="71">
        <v>46240</v>
      </c>
      <c r="C10" s="72">
        <v>6</v>
      </c>
      <c r="D10" s="72" t="s">
        <v>101</v>
      </c>
      <c r="E10" s="73" t="s">
        <v>34</v>
      </c>
      <c r="F10" s="73" t="s">
        <v>45</v>
      </c>
      <c r="G10" s="72" t="s">
        <v>84</v>
      </c>
      <c r="H10" s="47">
        <f>IF('Lançamento Diário'!H7="","",'Lançamento Diário'!H7)</f>
        <v>14</v>
      </c>
    </row>
    <row r="11" spans="2:8" x14ac:dyDescent="0.25">
      <c r="B11" s="71">
        <v>46241</v>
      </c>
      <c r="C11" s="72">
        <v>7</v>
      </c>
      <c r="D11" s="72" t="s">
        <v>102</v>
      </c>
      <c r="E11" s="73" t="s">
        <v>34</v>
      </c>
      <c r="F11" s="73" t="s">
        <v>45</v>
      </c>
      <c r="G11" s="72" t="s">
        <v>84</v>
      </c>
      <c r="H11" s="47">
        <f>IF('Lançamento Diário'!I7="","",'Lançamento Diário'!I7)</f>
        <v>17</v>
      </c>
    </row>
    <row r="12" spans="2:8" x14ac:dyDescent="0.25">
      <c r="B12" s="71">
        <v>46242</v>
      </c>
      <c r="C12" s="72">
        <v>8</v>
      </c>
      <c r="D12" s="72" t="s">
        <v>96</v>
      </c>
      <c r="E12" s="73" t="s">
        <v>34</v>
      </c>
      <c r="F12" s="73" t="s">
        <v>45</v>
      </c>
      <c r="G12" s="72" t="s">
        <v>84</v>
      </c>
      <c r="H12" s="47">
        <f>IF('Lançamento Diário'!J7="","",'Lançamento Diário'!J7)</f>
        <v>20</v>
      </c>
    </row>
    <row r="13" spans="2:8" x14ac:dyDescent="0.25">
      <c r="B13" s="71">
        <v>46243</v>
      </c>
      <c r="C13" s="72">
        <v>9</v>
      </c>
      <c r="D13" s="72" t="s">
        <v>97</v>
      </c>
      <c r="E13" s="73" t="s">
        <v>34</v>
      </c>
      <c r="F13" s="73" t="s">
        <v>45</v>
      </c>
      <c r="G13" s="72" t="s">
        <v>84</v>
      </c>
      <c r="H13" s="47">
        <f>IF('Lançamento Diário'!K7="","",'Lançamento Diário'!K7)</f>
        <v>0</v>
      </c>
    </row>
    <row r="14" spans="2:8" x14ac:dyDescent="0.25">
      <c r="B14" s="71">
        <v>46244</v>
      </c>
      <c r="C14" s="72">
        <v>10</v>
      </c>
      <c r="D14" s="72" t="s">
        <v>98</v>
      </c>
      <c r="E14" s="73" t="s">
        <v>34</v>
      </c>
      <c r="F14" s="73" t="s">
        <v>45</v>
      </c>
      <c r="G14" s="72" t="s">
        <v>84</v>
      </c>
      <c r="H14" s="47">
        <f>IF('Lançamento Diário'!L7="","",'Lançamento Diário'!L7)</f>
        <v>0</v>
      </c>
    </row>
    <row r="15" spans="2:8" x14ac:dyDescent="0.25">
      <c r="B15" s="71">
        <v>46245</v>
      </c>
      <c r="C15" s="72">
        <v>11</v>
      </c>
      <c r="D15" s="72" t="s">
        <v>99</v>
      </c>
      <c r="E15" s="73" t="s">
        <v>34</v>
      </c>
      <c r="F15" s="73" t="s">
        <v>45</v>
      </c>
      <c r="G15" s="72" t="s">
        <v>84</v>
      </c>
      <c r="H15" s="47">
        <f>IF('Lançamento Diário'!M7="","",'Lançamento Diário'!M7)</f>
        <v>16</v>
      </c>
    </row>
    <row r="16" spans="2:8" x14ac:dyDescent="0.25">
      <c r="B16" s="71">
        <v>46246</v>
      </c>
      <c r="C16" s="72">
        <v>12</v>
      </c>
      <c r="D16" s="72" t="s">
        <v>100</v>
      </c>
      <c r="E16" s="73" t="s">
        <v>34</v>
      </c>
      <c r="F16" s="73" t="s">
        <v>45</v>
      </c>
      <c r="G16" s="72" t="s">
        <v>84</v>
      </c>
      <c r="H16" s="47">
        <f>IF('Lançamento Diário'!N7="","",'Lançamento Diário'!N7)</f>
        <v>19</v>
      </c>
    </row>
    <row r="17" spans="2:8" x14ac:dyDescent="0.25">
      <c r="B17" s="71">
        <v>46247</v>
      </c>
      <c r="C17" s="72">
        <v>13</v>
      </c>
      <c r="D17" s="72" t="s">
        <v>101</v>
      </c>
      <c r="E17" s="73" t="s">
        <v>34</v>
      </c>
      <c r="F17" s="73" t="s">
        <v>45</v>
      </c>
      <c r="G17" s="72" t="s">
        <v>84</v>
      </c>
      <c r="H17" s="47">
        <f>IF('Lançamento Diário'!O7="","",'Lançamento Diário'!O7)</f>
        <v>16</v>
      </c>
    </row>
    <row r="18" spans="2:8" x14ac:dyDescent="0.25">
      <c r="B18" s="71">
        <v>46248</v>
      </c>
      <c r="C18" s="72">
        <v>14</v>
      </c>
      <c r="D18" s="72" t="s">
        <v>102</v>
      </c>
      <c r="E18" s="73" t="s">
        <v>34</v>
      </c>
      <c r="F18" s="73" t="s">
        <v>45</v>
      </c>
      <c r="G18" s="72" t="s">
        <v>84</v>
      </c>
      <c r="H18" s="47">
        <f>IF('Lançamento Diário'!P7="","",'Lançamento Diário'!P7)</f>
        <v>20</v>
      </c>
    </row>
    <row r="19" spans="2:8" x14ac:dyDescent="0.25">
      <c r="B19" s="71">
        <v>46249</v>
      </c>
      <c r="C19" s="72">
        <v>15</v>
      </c>
      <c r="D19" s="72" t="s">
        <v>96</v>
      </c>
      <c r="E19" s="73" t="s">
        <v>34</v>
      </c>
      <c r="F19" s="73" t="s">
        <v>45</v>
      </c>
      <c r="G19" s="72" t="s">
        <v>84</v>
      </c>
      <c r="H19" s="47">
        <f>IF('Lançamento Diário'!Q7="","",'Lançamento Diário'!Q7)</f>
        <v>11</v>
      </c>
    </row>
    <row r="20" spans="2:8" x14ac:dyDescent="0.25">
      <c r="B20" s="71">
        <v>46250</v>
      </c>
      <c r="C20" s="72">
        <v>16</v>
      </c>
      <c r="D20" s="72" t="s">
        <v>97</v>
      </c>
      <c r="E20" s="73" t="s">
        <v>34</v>
      </c>
      <c r="F20" s="73" t="s">
        <v>45</v>
      </c>
      <c r="G20" s="72" t="s">
        <v>84</v>
      </c>
      <c r="H20" s="47">
        <f>IF('Lançamento Diário'!R7="","",'Lançamento Diário'!R7)</f>
        <v>0</v>
      </c>
    </row>
    <row r="21" spans="2:8" x14ac:dyDescent="0.25">
      <c r="B21" s="71">
        <v>46251</v>
      </c>
      <c r="C21" s="72">
        <v>17</v>
      </c>
      <c r="D21" s="72" t="s">
        <v>98</v>
      </c>
      <c r="E21" s="73" t="s">
        <v>34</v>
      </c>
      <c r="F21" s="73" t="s">
        <v>45</v>
      </c>
      <c r="G21" s="72" t="s">
        <v>84</v>
      </c>
      <c r="H21" s="47">
        <f>IF('Lançamento Diário'!S7="","",'Lançamento Diário'!S7)</f>
        <v>8</v>
      </c>
    </row>
    <row r="22" spans="2:8" x14ac:dyDescent="0.25">
      <c r="B22" s="71">
        <v>46252</v>
      </c>
      <c r="C22" s="72">
        <v>18</v>
      </c>
      <c r="D22" s="72" t="s">
        <v>99</v>
      </c>
      <c r="E22" s="73" t="s">
        <v>34</v>
      </c>
      <c r="F22" s="73" t="s">
        <v>45</v>
      </c>
      <c r="G22" s="72" t="s">
        <v>84</v>
      </c>
      <c r="H22" s="47">
        <f>IF('Lançamento Diário'!T7="","",'Lançamento Diário'!T7)</f>
        <v>15</v>
      </c>
    </row>
    <row r="23" spans="2:8" x14ac:dyDescent="0.25">
      <c r="B23" s="71">
        <v>46253</v>
      </c>
      <c r="C23" s="72">
        <v>19</v>
      </c>
      <c r="D23" s="72" t="s">
        <v>100</v>
      </c>
      <c r="E23" s="73" t="s">
        <v>34</v>
      </c>
      <c r="F23" s="73" t="s">
        <v>45</v>
      </c>
      <c r="G23" s="72" t="s">
        <v>84</v>
      </c>
      <c r="H23" s="47">
        <f>IF('Lançamento Diário'!U7="","",'Lançamento Diário'!U7)</f>
        <v>16</v>
      </c>
    </row>
    <row r="24" spans="2:8" x14ac:dyDescent="0.25">
      <c r="B24" s="71">
        <v>46254</v>
      </c>
      <c r="C24" s="72">
        <v>20</v>
      </c>
      <c r="D24" s="72" t="s">
        <v>101</v>
      </c>
      <c r="E24" s="73" t="s">
        <v>34</v>
      </c>
      <c r="F24" s="73" t="s">
        <v>45</v>
      </c>
      <c r="G24" s="72" t="s">
        <v>84</v>
      </c>
      <c r="H24" s="47">
        <f>IF('Lançamento Diário'!V7="","",'Lançamento Diário'!V7)</f>
        <v>16</v>
      </c>
    </row>
    <row r="25" spans="2:8" x14ac:dyDescent="0.25">
      <c r="B25" s="71">
        <v>46255</v>
      </c>
      <c r="C25" s="72">
        <v>21</v>
      </c>
      <c r="D25" s="72" t="s">
        <v>102</v>
      </c>
      <c r="E25" s="73" t="s">
        <v>34</v>
      </c>
      <c r="F25" s="73" t="s">
        <v>45</v>
      </c>
      <c r="G25" s="72" t="s">
        <v>84</v>
      </c>
      <c r="H25" s="47">
        <f>IF('Lançamento Diário'!W7="","",'Lançamento Diário'!W7)</f>
        <v>19</v>
      </c>
    </row>
    <row r="26" spans="2:8" x14ac:dyDescent="0.25">
      <c r="B26" s="71">
        <v>46256</v>
      </c>
      <c r="C26" s="72">
        <v>22</v>
      </c>
      <c r="D26" s="72" t="s">
        <v>96</v>
      </c>
      <c r="E26" s="73" t="s">
        <v>34</v>
      </c>
      <c r="F26" s="73" t="s">
        <v>45</v>
      </c>
      <c r="G26" s="72" t="s">
        <v>84</v>
      </c>
      <c r="H26" s="47">
        <f>IF('Lançamento Diário'!X7="","",'Lançamento Diário'!X7)</f>
        <v>15</v>
      </c>
    </row>
    <row r="27" spans="2:8" x14ac:dyDescent="0.25">
      <c r="B27" s="71">
        <v>46257</v>
      </c>
      <c r="C27" s="72">
        <v>23</v>
      </c>
      <c r="D27" s="72" t="s">
        <v>97</v>
      </c>
      <c r="E27" s="73" t="s">
        <v>34</v>
      </c>
      <c r="F27" s="73" t="s">
        <v>45</v>
      </c>
      <c r="G27" s="72" t="s">
        <v>84</v>
      </c>
      <c r="H27" s="47">
        <f>IF('Lançamento Diário'!Y7="","",'Lançamento Diário'!Y7)</f>
        <v>0</v>
      </c>
    </row>
    <row r="28" spans="2:8" x14ac:dyDescent="0.25">
      <c r="B28" s="71">
        <v>46258</v>
      </c>
      <c r="C28" s="72">
        <v>24</v>
      </c>
      <c r="D28" s="72" t="s">
        <v>98</v>
      </c>
      <c r="E28" s="73" t="s">
        <v>34</v>
      </c>
      <c r="F28" s="73" t="s">
        <v>45</v>
      </c>
      <c r="G28" s="72" t="s">
        <v>84</v>
      </c>
      <c r="H28" s="47">
        <f>IF('Lançamento Diário'!Z7="","",'Lançamento Diário'!Z7)</f>
        <v>13</v>
      </c>
    </row>
    <row r="29" spans="2:8" x14ac:dyDescent="0.25">
      <c r="B29" s="71">
        <v>46259</v>
      </c>
      <c r="C29" s="72">
        <v>25</v>
      </c>
      <c r="D29" s="72" t="s">
        <v>99</v>
      </c>
      <c r="E29" s="73" t="s">
        <v>34</v>
      </c>
      <c r="F29" s="73" t="s">
        <v>45</v>
      </c>
      <c r="G29" s="72" t="s">
        <v>84</v>
      </c>
      <c r="H29" s="47">
        <f>IF('Lançamento Diário'!AA7="","",'Lançamento Diário'!AA7)</f>
        <v>10</v>
      </c>
    </row>
    <row r="30" spans="2:8" x14ac:dyDescent="0.25">
      <c r="B30" s="71">
        <v>46260</v>
      </c>
      <c r="C30" s="72">
        <v>26</v>
      </c>
      <c r="D30" s="72" t="s">
        <v>100</v>
      </c>
      <c r="E30" s="73" t="s">
        <v>34</v>
      </c>
      <c r="F30" s="73" t="s">
        <v>45</v>
      </c>
      <c r="G30" s="72" t="s">
        <v>84</v>
      </c>
      <c r="H30" s="47">
        <f>IF('Lançamento Diário'!AB7="","",'Lançamento Diário'!AB7)</f>
        <v>22</v>
      </c>
    </row>
    <row r="31" spans="2:8" x14ac:dyDescent="0.25">
      <c r="B31" s="71">
        <v>46261</v>
      </c>
      <c r="C31" s="72">
        <v>27</v>
      </c>
      <c r="D31" s="72" t="s">
        <v>101</v>
      </c>
      <c r="E31" s="73" t="s">
        <v>34</v>
      </c>
      <c r="F31" s="73" t="s">
        <v>45</v>
      </c>
      <c r="G31" s="72" t="s">
        <v>84</v>
      </c>
      <c r="H31" s="47">
        <f>IF('Lançamento Diário'!AC7="","",'Lançamento Diário'!AC7)</f>
        <v>16</v>
      </c>
    </row>
    <row r="32" spans="2:8" x14ac:dyDescent="0.25">
      <c r="B32" s="71">
        <v>46262</v>
      </c>
      <c r="C32" s="72">
        <v>28</v>
      </c>
      <c r="D32" s="72" t="s">
        <v>102</v>
      </c>
      <c r="E32" s="73" t="s">
        <v>34</v>
      </c>
      <c r="F32" s="73" t="s">
        <v>45</v>
      </c>
      <c r="G32" s="72" t="s">
        <v>84</v>
      </c>
      <c r="H32" s="47">
        <f>IF('Lançamento Diário'!AD7="","",'Lançamento Diário'!AD7)</f>
        <v>16</v>
      </c>
    </row>
    <row r="33" spans="2:8" x14ac:dyDescent="0.25">
      <c r="B33" s="71">
        <v>46263</v>
      </c>
      <c r="C33" s="72">
        <v>29</v>
      </c>
      <c r="D33" s="72" t="s">
        <v>96</v>
      </c>
      <c r="E33" s="73" t="s">
        <v>34</v>
      </c>
      <c r="F33" s="73" t="s">
        <v>45</v>
      </c>
      <c r="G33" s="72" t="s">
        <v>84</v>
      </c>
      <c r="H33" s="47">
        <f>IF('Lançamento Diário'!AE7="","",'Lançamento Diário'!AE7)</f>
        <v>15</v>
      </c>
    </row>
    <row r="34" spans="2:8" x14ac:dyDescent="0.25">
      <c r="B34" s="71">
        <v>46264</v>
      </c>
      <c r="C34" s="72">
        <v>30</v>
      </c>
      <c r="D34" s="72" t="s">
        <v>97</v>
      </c>
      <c r="E34" s="73" t="s">
        <v>34</v>
      </c>
      <c r="F34" s="73" t="s">
        <v>45</v>
      </c>
      <c r="G34" s="72" t="s">
        <v>84</v>
      </c>
      <c r="H34" s="47">
        <f>IF('Lançamento Diário'!AF7="","",'Lançamento Diário'!AF7)</f>
        <v>0</v>
      </c>
    </row>
    <row r="35" spans="2:8" x14ac:dyDescent="0.25">
      <c r="B35" s="71">
        <v>46265</v>
      </c>
      <c r="C35" s="72">
        <v>31</v>
      </c>
      <c r="D35" s="72" t="s">
        <v>98</v>
      </c>
      <c r="E35" s="73" t="s">
        <v>34</v>
      </c>
      <c r="F35" s="73" t="s">
        <v>45</v>
      </c>
      <c r="G35" s="72" t="s">
        <v>84</v>
      </c>
      <c r="H35" s="47">
        <f>IF('Lançamento Diário'!AG7="","",'Lançamento Diário'!AG7)</f>
        <v>2</v>
      </c>
    </row>
    <row r="36" spans="2:8" x14ac:dyDescent="0.25">
      <c r="B36" s="71">
        <v>46235</v>
      </c>
      <c r="C36" s="72">
        <v>1</v>
      </c>
      <c r="D36" s="72" t="s">
        <v>96</v>
      </c>
      <c r="E36" s="73" t="s">
        <v>34</v>
      </c>
      <c r="F36" s="73" t="s">
        <v>46</v>
      </c>
      <c r="G36" s="72" t="s">
        <v>84</v>
      </c>
      <c r="H36" s="47">
        <f>IF('Lançamento Diário'!C8="","",'Lançamento Diário'!C8)</f>
        <v>2</v>
      </c>
    </row>
    <row r="37" spans="2:8" x14ac:dyDescent="0.25">
      <c r="B37" s="71">
        <v>46236</v>
      </c>
      <c r="C37" s="72">
        <v>2</v>
      </c>
      <c r="D37" s="72" t="s">
        <v>97</v>
      </c>
      <c r="E37" s="73" t="s">
        <v>34</v>
      </c>
      <c r="F37" s="73" t="s">
        <v>46</v>
      </c>
      <c r="G37" s="72" t="s">
        <v>84</v>
      </c>
      <c r="H37" s="47">
        <f>IF('Lançamento Diário'!D8="","",'Lançamento Diário'!D8)</f>
        <v>3</v>
      </c>
    </row>
    <row r="38" spans="2:8" x14ac:dyDescent="0.25">
      <c r="B38" s="71">
        <v>46237</v>
      </c>
      <c r="C38" s="72">
        <v>3</v>
      </c>
      <c r="D38" s="72" t="s">
        <v>98</v>
      </c>
      <c r="E38" s="73" t="s">
        <v>34</v>
      </c>
      <c r="F38" s="73" t="s">
        <v>46</v>
      </c>
      <c r="G38" s="72" t="s">
        <v>84</v>
      </c>
      <c r="H38" s="47">
        <f>IF('Lançamento Diário'!E8="","",'Lançamento Diário'!E8)</f>
        <v>1</v>
      </c>
    </row>
    <row r="39" spans="2:8" x14ac:dyDescent="0.25">
      <c r="B39" s="71">
        <v>46238</v>
      </c>
      <c r="C39" s="72">
        <v>4</v>
      </c>
      <c r="D39" s="72" t="s">
        <v>99</v>
      </c>
      <c r="E39" s="73" t="s">
        <v>34</v>
      </c>
      <c r="F39" s="73" t="s">
        <v>46</v>
      </c>
      <c r="G39" s="72" t="s">
        <v>84</v>
      </c>
      <c r="H39" s="47">
        <f>IF('Lançamento Diário'!F8="","",'Lançamento Diário'!F8)</f>
        <v>4</v>
      </c>
    </row>
    <row r="40" spans="2:8" x14ac:dyDescent="0.25">
      <c r="B40" s="71">
        <v>46239</v>
      </c>
      <c r="C40" s="72">
        <v>5</v>
      </c>
      <c r="D40" s="72" t="s">
        <v>100</v>
      </c>
      <c r="E40" s="73" t="s">
        <v>34</v>
      </c>
      <c r="F40" s="73" t="s">
        <v>46</v>
      </c>
      <c r="G40" s="72" t="s">
        <v>84</v>
      </c>
      <c r="H40" s="47">
        <f>IF('Lançamento Diário'!G8="","",'Lançamento Diário'!G8)</f>
        <v>4</v>
      </c>
    </row>
    <row r="41" spans="2:8" x14ac:dyDescent="0.25">
      <c r="B41" s="71">
        <v>46240</v>
      </c>
      <c r="C41" s="72">
        <v>6</v>
      </c>
      <c r="D41" s="72" t="s">
        <v>101</v>
      </c>
      <c r="E41" s="73" t="s">
        <v>34</v>
      </c>
      <c r="F41" s="73" t="s">
        <v>46</v>
      </c>
      <c r="G41" s="72" t="s">
        <v>84</v>
      </c>
      <c r="H41" s="47">
        <f>IF('Lançamento Diário'!H8="","",'Lançamento Diário'!H8)</f>
        <v>5</v>
      </c>
    </row>
    <row r="42" spans="2:8" x14ac:dyDescent="0.25">
      <c r="B42" s="71">
        <v>46241</v>
      </c>
      <c r="C42" s="72">
        <v>7</v>
      </c>
      <c r="D42" s="72" t="s">
        <v>102</v>
      </c>
      <c r="E42" s="73" t="s">
        <v>34</v>
      </c>
      <c r="F42" s="73" t="s">
        <v>46</v>
      </c>
      <c r="G42" s="72" t="s">
        <v>84</v>
      </c>
      <c r="H42" s="47">
        <f>IF('Lançamento Diário'!I8="","",'Lançamento Diário'!I8)</f>
        <v>3</v>
      </c>
    </row>
    <row r="43" spans="2:8" x14ac:dyDescent="0.25">
      <c r="B43" s="71">
        <v>46242</v>
      </c>
      <c r="C43" s="72">
        <v>8</v>
      </c>
      <c r="D43" s="72" t="s">
        <v>96</v>
      </c>
      <c r="E43" s="73" t="s">
        <v>34</v>
      </c>
      <c r="F43" s="73" t="s">
        <v>46</v>
      </c>
      <c r="G43" s="72" t="s">
        <v>84</v>
      </c>
      <c r="H43" s="47">
        <f>IF('Lançamento Diário'!J8="","",'Lançamento Diário'!J8)</f>
        <v>1</v>
      </c>
    </row>
    <row r="44" spans="2:8" x14ac:dyDescent="0.25">
      <c r="B44" s="71">
        <v>46243</v>
      </c>
      <c r="C44" s="72">
        <v>9</v>
      </c>
      <c r="D44" s="72" t="s">
        <v>97</v>
      </c>
      <c r="E44" s="73" t="s">
        <v>34</v>
      </c>
      <c r="F44" s="73" t="s">
        <v>46</v>
      </c>
      <c r="G44" s="72" t="s">
        <v>84</v>
      </c>
      <c r="H44" s="47">
        <f>IF('Lançamento Diário'!K8="","",'Lançamento Diário'!K8)</f>
        <v>0</v>
      </c>
    </row>
    <row r="45" spans="2:8" x14ac:dyDescent="0.25">
      <c r="B45" s="71">
        <v>46244</v>
      </c>
      <c r="C45" s="72">
        <v>10</v>
      </c>
      <c r="D45" s="72" t="s">
        <v>98</v>
      </c>
      <c r="E45" s="73" t="s">
        <v>34</v>
      </c>
      <c r="F45" s="73" t="s">
        <v>46</v>
      </c>
      <c r="G45" s="72" t="s">
        <v>84</v>
      </c>
      <c r="H45" s="47">
        <f>IF('Lançamento Diário'!L8="","",'Lançamento Diário'!L8)</f>
        <v>0</v>
      </c>
    </row>
    <row r="46" spans="2:8" x14ac:dyDescent="0.25">
      <c r="B46" s="71">
        <v>46245</v>
      </c>
      <c r="C46" s="72">
        <v>11</v>
      </c>
      <c r="D46" s="72" t="s">
        <v>99</v>
      </c>
      <c r="E46" s="73" t="s">
        <v>34</v>
      </c>
      <c r="F46" s="73" t="s">
        <v>46</v>
      </c>
      <c r="G46" s="72" t="s">
        <v>84</v>
      </c>
      <c r="H46" s="47">
        <f>IF('Lançamento Diário'!M8="","",'Lançamento Diário'!M8)</f>
        <v>4</v>
      </c>
    </row>
    <row r="47" spans="2:8" x14ac:dyDescent="0.25">
      <c r="B47" s="71">
        <v>46246</v>
      </c>
      <c r="C47" s="72">
        <v>12</v>
      </c>
      <c r="D47" s="72" t="s">
        <v>100</v>
      </c>
      <c r="E47" s="73" t="s">
        <v>34</v>
      </c>
      <c r="F47" s="73" t="s">
        <v>46</v>
      </c>
      <c r="G47" s="72" t="s">
        <v>84</v>
      </c>
      <c r="H47" s="47">
        <f>IF('Lançamento Diário'!N8="","",'Lançamento Diário'!N8)</f>
        <v>2</v>
      </c>
    </row>
    <row r="48" spans="2:8" x14ac:dyDescent="0.25">
      <c r="B48" s="71">
        <v>46247</v>
      </c>
      <c r="C48" s="72">
        <v>13</v>
      </c>
      <c r="D48" s="72" t="s">
        <v>101</v>
      </c>
      <c r="E48" s="73" t="s">
        <v>34</v>
      </c>
      <c r="F48" s="73" t="s">
        <v>46</v>
      </c>
      <c r="G48" s="72" t="s">
        <v>84</v>
      </c>
      <c r="H48" s="47">
        <f>IF('Lançamento Diário'!O8="","",'Lançamento Diário'!O8)</f>
        <v>3</v>
      </c>
    </row>
    <row r="49" spans="2:8" x14ac:dyDescent="0.25">
      <c r="B49" s="71">
        <v>46248</v>
      </c>
      <c r="C49" s="72">
        <v>14</v>
      </c>
      <c r="D49" s="72" t="s">
        <v>102</v>
      </c>
      <c r="E49" s="73" t="s">
        <v>34</v>
      </c>
      <c r="F49" s="73" t="s">
        <v>46</v>
      </c>
      <c r="G49" s="72" t="s">
        <v>84</v>
      </c>
      <c r="H49" s="47">
        <f>IF('Lançamento Diário'!P8="","",'Lançamento Diário'!P8)</f>
        <v>4</v>
      </c>
    </row>
    <row r="50" spans="2:8" x14ac:dyDescent="0.25">
      <c r="B50" s="71">
        <v>46249</v>
      </c>
      <c r="C50" s="72">
        <v>15</v>
      </c>
      <c r="D50" s="72" t="s">
        <v>96</v>
      </c>
      <c r="E50" s="73" t="s">
        <v>34</v>
      </c>
      <c r="F50" s="73" t="s">
        <v>46</v>
      </c>
      <c r="G50" s="72" t="s">
        <v>84</v>
      </c>
      <c r="H50" s="47">
        <f>IF('Lançamento Diário'!Q8="","",'Lançamento Diário'!Q8)</f>
        <v>2</v>
      </c>
    </row>
    <row r="51" spans="2:8" x14ac:dyDescent="0.25">
      <c r="B51" s="71">
        <v>46250</v>
      </c>
      <c r="C51" s="72">
        <v>16</v>
      </c>
      <c r="D51" s="72" t="s">
        <v>97</v>
      </c>
      <c r="E51" s="73" t="s">
        <v>34</v>
      </c>
      <c r="F51" s="73" t="s">
        <v>46</v>
      </c>
      <c r="G51" s="72" t="s">
        <v>84</v>
      </c>
      <c r="H51" s="47">
        <f>IF('Lançamento Diário'!R8="","",'Lançamento Diário'!R8)</f>
        <v>0</v>
      </c>
    </row>
    <row r="52" spans="2:8" x14ac:dyDescent="0.25">
      <c r="B52" s="71">
        <v>46251</v>
      </c>
      <c r="C52" s="72">
        <v>17</v>
      </c>
      <c r="D52" s="72" t="s">
        <v>98</v>
      </c>
      <c r="E52" s="73" t="s">
        <v>34</v>
      </c>
      <c r="F52" s="73" t="s">
        <v>46</v>
      </c>
      <c r="G52" s="72" t="s">
        <v>84</v>
      </c>
      <c r="H52" s="47">
        <f>IF('Lançamento Diário'!S8="","",'Lançamento Diário'!S8)</f>
        <v>0</v>
      </c>
    </row>
    <row r="53" spans="2:8" x14ac:dyDescent="0.25">
      <c r="B53" s="71">
        <v>46252</v>
      </c>
      <c r="C53" s="72">
        <v>18</v>
      </c>
      <c r="D53" s="72" t="s">
        <v>99</v>
      </c>
      <c r="E53" s="73" t="s">
        <v>34</v>
      </c>
      <c r="F53" s="73" t="s">
        <v>46</v>
      </c>
      <c r="G53" s="72" t="s">
        <v>84</v>
      </c>
      <c r="H53" s="47">
        <f>IF('Lançamento Diário'!T8="","",'Lançamento Diário'!T8)</f>
        <v>5</v>
      </c>
    </row>
    <row r="54" spans="2:8" x14ac:dyDescent="0.25">
      <c r="B54" s="71">
        <v>46253</v>
      </c>
      <c r="C54" s="72">
        <v>19</v>
      </c>
      <c r="D54" s="72" t="s">
        <v>100</v>
      </c>
      <c r="E54" s="73" t="s">
        <v>34</v>
      </c>
      <c r="F54" s="73" t="s">
        <v>46</v>
      </c>
      <c r="G54" s="72" t="s">
        <v>84</v>
      </c>
      <c r="H54" s="47">
        <f>IF('Lançamento Diário'!U8="","",'Lançamento Diário'!U8)</f>
        <v>1</v>
      </c>
    </row>
    <row r="55" spans="2:8" x14ac:dyDescent="0.25">
      <c r="B55" s="71">
        <v>46254</v>
      </c>
      <c r="C55" s="72">
        <v>20</v>
      </c>
      <c r="D55" s="72" t="s">
        <v>101</v>
      </c>
      <c r="E55" s="73" t="s">
        <v>34</v>
      </c>
      <c r="F55" s="73" t="s">
        <v>46</v>
      </c>
      <c r="G55" s="72" t="s">
        <v>84</v>
      </c>
      <c r="H55" s="47">
        <f>IF('Lançamento Diário'!V8="","",'Lançamento Diário'!V8)</f>
        <v>2</v>
      </c>
    </row>
    <row r="56" spans="2:8" x14ac:dyDescent="0.25">
      <c r="B56" s="71">
        <v>46255</v>
      </c>
      <c r="C56" s="72">
        <v>21</v>
      </c>
      <c r="D56" s="72" t="s">
        <v>102</v>
      </c>
      <c r="E56" s="73" t="s">
        <v>34</v>
      </c>
      <c r="F56" s="73" t="s">
        <v>46</v>
      </c>
      <c r="G56" s="72" t="s">
        <v>84</v>
      </c>
      <c r="H56" s="47">
        <f>IF('Lançamento Diário'!W8="","",'Lançamento Diário'!W8)</f>
        <v>3</v>
      </c>
    </row>
    <row r="57" spans="2:8" x14ac:dyDescent="0.25">
      <c r="B57" s="71">
        <v>46256</v>
      </c>
      <c r="C57" s="72">
        <v>22</v>
      </c>
      <c r="D57" s="72" t="s">
        <v>96</v>
      </c>
      <c r="E57" s="73" t="s">
        <v>34</v>
      </c>
      <c r="F57" s="73" t="s">
        <v>46</v>
      </c>
      <c r="G57" s="72" t="s">
        <v>84</v>
      </c>
      <c r="H57" s="47">
        <f>IF('Lançamento Diário'!X8="","",'Lançamento Diário'!X8)</f>
        <v>6</v>
      </c>
    </row>
    <row r="58" spans="2:8" x14ac:dyDescent="0.25">
      <c r="B58" s="71">
        <v>46257</v>
      </c>
      <c r="C58" s="72">
        <v>23</v>
      </c>
      <c r="D58" s="72" t="s">
        <v>97</v>
      </c>
      <c r="E58" s="73" t="s">
        <v>34</v>
      </c>
      <c r="F58" s="73" t="s">
        <v>46</v>
      </c>
      <c r="G58" s="72" t="s">
        <v>84</v>
      </c>
      <c r="H58" s="47">
        <f>IF('Lançamento Diário'!Y8="","",'Lançamento Diário'!Y8)</f>
        <v>0</v>
      </c>
    </row>
    <row r="59" spans="2:8" x14ac:dyDescent="0.25">
      <c r="B59" s="71">
        <v>46258</v>
      </c>
      <c r="C59" s="72">
        <v>24</v>
      </c>
      <c r="D59" s="72" t="s">
        <v>98</v>
      </c>
      <c r="E59" s="73" t="s">
        <v>34</v>
      </c>
      <c r="F59" s="73" t="s">
        <v>46</v>
      </c>
      <c r="G59" s="72" t="s">
        <v>84</v>
      </c>
      <c r="H59" s="47">
        <f>IF('Lançamento Diário'!Z8="","",'Lançamento Diário'!Z8)</f>
        <v>0</v>
      </c>
    </row>
    <row r="60" spans="2:8" x14ac:dyDescent="0.25">
      <c r="B60" s="71">
        <v>46259</v>
      </c>
      <c r="C60" s="72">
        <v>25</v>
      </c>
      <c r="D60" s="72" t="s">
        <v>99</v>
      </c>
      <c r="E60" s="73" t="s">
        <v>34</v>
      </c>
      <c r="F60" s="73" t="s">
        <v>46</v>
      </c>
      <c r="G60" s="72" t="s">
        <v>84</v>
      </c>
      <c r="H60" s="47">
        <f>IF('Lançamento Diário'!AA8="","",'Lançamento Diário'!AA8)</f>
        <v>5</v>
      </c>
    </row>
    <row r="61" spans="2:8" x14ac:dyDescent="0.25">
      <c r="B61" s="71">
        <v>46260</v>
      </c>
      <c r="C61" s="72">
        <v>26</v>
      </c>
      <c r="D61" s="72" t="s">
        <v>100</v>
      </c>
      <c r="E61" s="73" t="s">
        <v>34</v>
      </c>
      <c r="F61" s="73" t="s">
        <v>46</v>
      </c>
      <c r="G61" s="72" t="s">
        <v>84</v>
      </c>
      <c r="H61" s="47">
        <f>IF('Lançamento Diário'!AB8="","",'Lançamento Diário'!AB8)</f>
        <v>2</v>
      </c>
    </row>
    <row r="62" spans="2:8" x14ac:dyDescent="0.25">
      <c r="B62" s="71">
        <v>46261</v>
      </c>
      <c r="C62" s="72">
        <v>27</v>
      </c>
      <c r="D62" s="72" t="s">
        <v>101</v>
      </c>
      <c r="E62" s="73" t="s">
        <v>34</v>
      </c>
      <c r="F62" s="73" t="s">
        <v>46</v>
      </c>
      <c r="G62" s="72" t="s">
        <v>84</v>
      </c>
      <c r="H62" s="47">
        <f>IF('Lançamento Diário'!AC8="","",'Lançamento Diário'!AC8)</f>
        <v>1</v>
      </c>
    </row>
    <row r="63" spans="2:8" x14ac:dyDescent="0.25">
      <c r="B63" s="71">
        <v>46262</v>
      </c>
      <c r="C63" s="72">
        <v>28</v>
      </c>
      <c r="D63" s="72" t="s">
        <v>102</v>
      </c>
      <c r="E63" s="73" t="s">
        <v>34</v>
      </c>
      <c r="F63" s="73" t="s">
        <v>46</v>
      </c>
      <c r="G63" s="72" t="s">
        <v>84</v>
      </c>
      <c r="H63" s="47">
        <f>IF('Lançamento Diário'!AD8="","",'Lançamento Diário'!AD8)</f>
        <v>3</v>
      </c>
    </row>
    <row r="64" spans="2:8" x14ac:dyDescent="0.25">
      <c r="B64" s="71">
        <v>46263</v>
      </c>
      <c r="C64" s="72">
        <v>29</v>
      </c>
      <c r="D64" s="72" t="s">
        <v>96</v>
      </c>
      <c r="E64" s="73" t="s">
        <v>34</v>
      </c>
      <c r="F64" s="73" t="s">
        <v>46</v>
      </c>
      <c r="G64" s="72" t="s">
        <v>84</v>
      </c>
      <c r="H64" s="47">
        <f>IF('Lançamento Diário'!AE8="","",'Lançamento Diário'!AE8)</f>
        <v>4</v>
      </c>
    </row>
    <row r="65" spans="2:8" x14ac:dyDescent="0.25">
      <c r="B65" s="71">
        <v>46264</v>
      </c>
      <c r="C65" s="72">
        <v>30</v>
      </c>
      <c r="D65" s="72" t="s">
        <v>97</v>
      </c>
      <c r="E65" s="73" t="s">
        <v>34</v>
      </c>
      <c r="F65" s="73" t="s">
        <v>46</v>
      </c>
      <c r="G65" s="72" t="s">
        <v>84</v>
      </c>
      <c r="H65" s="47">
        <f>IF('Lançamento Diário'!AF8="","",'Lançamento Diário'!AF8)</f>
        <v>0</v>
      </c>
    </row>
    <row r="66" spans="2:8" x14ac:dyDescent="0.25">
      <c r="B66" s="71">
        <v>46265</v>
      </c>
      <c r="C66" s="72">
        <v>31</v>
      </c>
      <c r="D66" s="72" t="s">
        <v>98</v>
      </c>
      <c r="E66" s="73" t="s">
        <v>34</v>
      </c>
      <c r="F66" s="73" t="s">
        <v>46</v>
      </c>
      <c r="G66" s="72" t="s">
        <v>84</v>
      </c>
      <c r="H66" s="47">
        <f>IF('Lançamento Diário'!AG8="","",'Lançamento Diário'!AG8)</f>
        <v>1</v>
      </c>
    </row>
    <row r="67" spans="2:8" x14ac:dyDescent="0.25">
      <c r="B67" s="71">
        <v>46235</v>
      </c>
      <c r="C67" s="72">
        <v>1</v>
      </c>
      <c r="D67" s="72" t="s">
        <v>96</v>
      </c>
      <c r="E67" s="73" t="s">
        <v>34</v>
      </c>
      <c r="F67" s="73" t="s">
        <v>47</v>
      </c>
      <c r="G67" s="72" t="s">
        <v>85</v>
      </c>
      <c r="H67" s="47">
        <f>IF('Lançamento Diário'!C9="","",'Lançamento Diário'!C9)</f>
        <v>1</v>
      </c>
    </row>
    <row r="68" spans="2:8" x14ac:dyDescent="0.25">
      <c r="B68" s="71">
        <v>46236</v>
      </c>
      <c r="C68" s="72">
        <v>2</v>
      </c>
      <c r="D68" s="72" t="s">
        <v>97</v>
      </c>
      <c r="E68" s="73" t="s">
        <v>34</v>
      </c>
      <c r="F68" s="73" t="s">
        <v>47</v>
      </c>
      <c r="G68" s="72" t="s">
        <v>85</v>
      </c>
      <c r="H68" s="47">
        <f>IF('Lançamento Diário'!D9="","",'Lançamento Diário'!D9)</f>
        <v>0</v>
      </c>
    </row>
    <row r="69" spans="2:8" x14ac:dyDescent="0.25">
      <c r="B69" s="71">
        <v>46237</v>
      </c>
      <c r="C69" s="72">
        <v>3</v>
      </c>
      <c r="D69" s="72" t="s">
        <v>98</v>
      </c>
      <c r="E69" s="73" t="s">
        <v>34</v>
      </c>
      <c r="F69" s="73" t="s">
        <v>47</v>
      </c>
      <c r="G69" s="72" t="s">
        <v>85</v>
      </c>
      <c r="H69" s="47">
        <f>IF('Lançamento Diário'!E9="","",'Lançamento Diário'!E9)</f>
        <v>3</v>
      </c>
    </row>
    <row r="70" spans="2:8" x14ac:dyDescent="0.25">
      <c r="B70" s="71">
        <v>46238</v>
      </c>
      <c r="C70" s="72">
        <v>4</v>
      </c>
      <c r="D70" s="72" t="s">
        <v>99</v>
      </c>
      <c r="E70" s="73" t="s">
        <v>34</v>
      </c>
      <c r="F70" s="73" t="s">
        <v>47</v>
      </c>
      <c r="G70" s="72" t="s">
        <v>85</v>
      </c>
      <c r="H70" s="47">
        <f>IF('Lançamento Diário'!F9="","",'Lançamento Diário'!F9)</f>
        <v>2</v>
      </c>
    </row>
    <row r="71" spans="2:8" x14ac:dyDescent="0.25">
      <c r="B71" s="71">
        <v>46239</v>
      </c>
      <c r="C71" s="72">
        <v>5</v>
      </c>
      <c r="D71" s="72" t="s">
        <v>100</v>
      </c>
      <c r="E71" s="73" t="s">
        <v>34</v>
      </c>
      <c r="F71" s="73" t="s">
        <v>47</v>
      </c>
      <c r="G71" s="72" t="s">
        <v>85</v>
      </c>
      <c r="H71" s="47">
        <f>IF('Lançamento Diário'!G9="","",'Lançamento Diário'!G9)</f>
        <v>0</v>
      </c>
    </row>
    <row r="72" spans="2:8" x14ac:dyDescent="0.25">
      <c r="B72" s="71">
        <v>46240</v>
      </c>
      <c r="C72" s="72">
        <v>6</v>
      </c>
      <c r="D72" s="72" t="s">
        <v>101</v>
      </c>
      <c r="E72" s="73" t="s">
        <v>34</v>
      </c>
      <c r="F72" s="73" t="s">
        <v>47</v>
      </c>
      <c r="G72" s="72" t="s">
        <v>85</v>
      </c>
      <c r="H72" s="47">
        <f>IF('Lançamento Diário'!H9="","",'Lançamento Diário'!H9)</f>
        <v>0</v>
      </c>
    </row>
    <row r="73" spans="2:8" x14ac:dyDescent="0.25">
      <c r="B73" s="71">
        <v>46241</v>
      </c>
      <c r="C73" s="72">
        <v>7</v>
      </c>
      <c r="D73" s="72" t="s">
        <v>102</v>
      </c>
      <c r="E73" s="73" t="s">
        <v>34</v>
      </c>
      <c r="F73" s="73" t="s">
        <v>47</v>
      </c>
      <c r="G73" s="72" t="s">
        <v>85</v>
      </c>
      <c r="H73" s="47">
        <f>IF('Lançamento Diário'!I9="","",'Lançamento Diário'!I9)</f>
        <v>1</v>
      </c>
    </row>
    <row r="74" spans="2:8" x14ac:dyDescent="0.25">
      <c r="B74" s="71">
        <v>46242</v>
      </c>
      <c r="C74" s="72">
        <v>8</v>
      </c>
      <c r="D74" s="72" t="s">
        <v>96</v>
      </c>
      <c r="E74" s="73" t="s">
        <v>34</v>
      </c>
      <c r="F74" s="73" t="s">
        <v>47</v>
      </c>
      <c r="G74" s="72" t="s">
        <v>85</v>
      </c>
      <c r="H74" s="47">
        <f>IF('Lançamento Diário'!J9="","",'Lançamento Diário'!J9)</f>
        <v>1</v>
      </c>
    </row>
    <row r="75" spans="2:8" x14ac:dyDescent="0.25">
      <c r="B75" s="71">
        <v>46243</v>
      </c>
      <c r="C75" s="72">
        <v>9</v>
      </c>
      <c r="D75" s="72" t="s">
        <v>97</v>
      </c>
      <c r="E75" s="73" t="s">
        <v>34</v>
      </c>
      <c r="F75" s="73" t="s">
        <v>47</v>
      </c>
      <c r="G75" s="72" t="s">
        <v>85</v>
      </c>
      <c r="H75" s="47">
        <f>IF('Lançamento Diário'!K9="","",'Lançamento Diário'!K9)</f>
        <v>0</v>
      </c>
    </row>
    <row r="76" spans="2:8" x14ac:dyDescent="0.25">
      <c r="B76" s="71">
        <v>46244</v>
      </c>
      <c r="C76" s="72">
        <v>10</v>
      </c>
      <c r="D76" s="72" t="s">
        <v>98</v>
      </c>
      <c r="E76" s="73" t="s">
        <v>34</v>
      </c>
      <c r="F76" s="73" t="s">
        <v>47</v>
      </c>
      <c r="G76" s="72" t="s">
        <v>85</v>
      </c>
      <c r="H76" s="47">
        <f>IF('Lançamento Diário'!L9="","",'Lançamento Diário'!L9)</f>
        <v>0</v>
      </c>
    </row>
    <row r="77" spans="2:8" x14ac:dyDescent="0.25">
      <c r="B77" s="71">
        <v>46245</v>
      </c>
      <c r="C77" s="72">
        <v>11</v>
      </c>
      <c r="D77" s="72" t="s">
        <v>99</v>
      </c>
      <c r="E77" s="73" t="s">
        <v>34</v>
      </c>
      <c r="F77" s="73" t="s">
        <v>47</v>
      </c>
      <c r="G77" s="72" t="s">
        <v>85</v>
      </c>
      <c r="H77" s="47">
        <f>IF('Lançamento Diário'!M9="","",'Lançamento Diário'!M9)</f>
        <v>1</v>
      </c>
    </row>
    <row r="78" spans="2:8" x14ac:dyDescent="0.25">
      <c r="B78" s="71">
        <v>46246</v>
      </c>
      <c r="C78" s="72">
        <v>12</v>
      </c>
      <c r="D78" s="72" t="s">
        <v>100</v>
      </c>
      <c r="E78" s="73" t="s">
        <v>34</v>
      </c>
      <c r="F78" s="73" t="s">
        <v>47</v>
      </c>
      <c r="G78" s="72" t="s">
        <v>85</v>
      </c>
      <c r="H78" s="47">
        <f>IF('Lançamento Diário'!N9="","",'Lançamento Diário'!N9)</f>
        <v>0</v>
      </c>
    </row>
    <row r="79" spans="2:8" x14ac:dyDescent="0.25">
      <c r="B79" s="71">
        <v>46247</v>
      </c>
      <c r="C79" s="72">
        <v>13</v>
      </c>
      <c r="D79" s="72" t="s">
        <v>101</v>
      </c>
      <c r="E79" s="73" t="s">
        <v>34</v>
      </c>
      <c r="F79" s="73" t="s">
        <v>47</v>
      </c>
      <c r="G79" s="72" t="s">
        <v>85</v>
      </c>
      <c r="H79" s="47">
        <f>IF('Lançamento Diário'!O9="","",'Lançamento Diário'!O9)</f>
        <v>0</v>
      </c>
    </row>
    <row r="80" spans="2:8" x14ac:dyDescent="0.25">
      <c r="B80" s="71">
        <v>46248</v>
      </c>
      <c r="C80" s="72">
        <v>14</v>
      </c>
      <c r="D80" s="72" t="s">
        <v>102</v>
      </c>
      <c r="E80" s="73" t="s">
        <v>34</v>
      </c>
      <c r="F80" s="73" t="s">
        <v>47</v>
      </c>
      <c r="G80" s="72" t="s">
        <v>85</v>
      </c>
      <c r="H80" s="47">
        <f>IF('Lançamento Diário'!P9="","",'Lançamento Diário'!P9)</f>
        <v>0</v>
      </c>
    </row>
    <row r="81" spans="2:8" x14ac:dyDescent="0.25">
      <c r="B81" s="71">
        <v>46249</v>
      </c>
      <c r="C81" s="72">
        <v>15</v>
      </c>
      <c r="D81" s="72" t="s">
        <v>96</v>
      </c>
      <c r="E81" s="73" t="s">
        <v>34</v>
      </c>
      <c r="F81" s="73" t="s">
        <v>47</v>
      </c>
      <c r="G81" s="72" t="s">
        <v>85</v>
      </c>
      <c r="H81" s="47">
        <f>IF('Lançamento Diário'!Q9="","",'Lançamento Diário'!Q9)</f>
        <v>0</v>
      </c>
    </row>
    <row r="82" spans="2:8" x14ac:dyDescent="0.25">
      <c r="B82" s="71">
        <v>46250</v>
      </c>
      <c r="C82" s="72">
        <v>16</v>
      </c>
      <c r="D82" s="72" t="s">
        <v>97</v>
      </c>
      <c r="E82" s="73" t="s">
        <v>34</v>
      </c>
      <c r="F82" s="73" t="s">
        <v>47</v>
      </c>
      <c r="G82" s="72" t="s">
        <v>85</v>
      </c>
      <c r="H82" s="47">
        <f>IF('Lançamento Diário'!R9="","",'Lançamento Diário'!R9)</f>
        <v>0</v>
      </c>
    </row>
    <row r="83" spans="2:8" x14ac:dyDescent="0.25">
      <c r="B83" s="71">
        <v>46251</v>
      </c>
      <c r="C83" s="72">
        <v>17</v>
      </c>
      <c r="D83" s="72" t="s">
        <v>98</v>
      </c>
      <c r="E83" s="73" t="s">
        <v>34</v>
      </c>
      <c r="F83" s="73" t="s">
        <v>47</v>
      </c>
      <c r="G83" s="72" t="s">
        <v>85</v>
      </c>
      <c r="H83" s="47">
        <f>IF('Lançamento Diário'!S9="","",'Lançamento Diário'!S9)</f>
        <v>1</v>
      </c>
    </row>
    <row r="84" spans="2:8" x14ac:dyDescent="0.25">
      <c r="B84" s="71">
        <v>46252</v>
      </c>
      <c r="C84" s="72">
        <v>18</v>
      </c>
      <c r="D84" s="72" t="s">
        <v>99</v>
      </c>
      <c r="E84" s="73" t="s">
        <v>34</v>
      </c>
      <c r="F84" s="73" t="s">
        <v>47</v>
      </c>
      <c r="G84" s="72" t="s">
        <v>85</v>
      </c>
      <c r="H84" s="47">
        <f>IF('Lançamento Diário'!T9="","",'Lançamento Diário'!T9)</f>
        <v>1</v>
      </c>
    </row>
    <row r="85" spans="2:8" x14ac:dyDescent="0.25">
      <c r="B85" s="71">
        <v>46253</v>
      </c>
      <c r="C85" s="72">
        <v>19</v>
      </c>
      <c r="D85" s="72" t="s">
        <v>100</v>
      </c>
      <c r="E85" s="73" t="s">
        <v>34</v>
      </c>
      <c r="F85" s="73" t="s">
        <v>47</v>
      </c>
      <c r="G85" s="72" t="s">
        <v>85</v>
      </c>
      <c r="H85" s="47">
        <f>IF('Lançamento Diário'!U9="","",'Lançamento Diário'!U9)</f>
        <v>0</v>
      </c>
    </row>
    <row r="86" spans="2:8" x14ac:dyDescent="0.25">
      <c r="B86" s="71">
        <v>46254</v>
      </c>
      <c r="C86" s="72">
        <v>20</v>
      </c>
      <c r="D86" s="72" t="s">
        <v>101</v>
      </c>
      <c r="E86" s="73" t="s">
        <v>34</v>
      </c>
      <c r="F86" s="73" t="s">
        <v>47</v>
      </c>
      <c r="G86" s="72" t="s">
        <v>85</v>
      </c>
      <c r="H86" s="47">
        <f>IF('Lançamento Diário'!V9="","",'Lançamento Diário'!V9)</f>
        <v>0</v>
      </c>
    </row>
    <row r="87" spans="2:8" x14ac:dyDescent="0.25">
      <c r="B87" s="71">
        <v>46255</v>
      </c>
      <c r="C87" s="72">
        <v>21</v>
      </c>
      <c r="D87" s="72" t="s">
        <v>102</v>
      </c>
      <c r="E87" s="73" t="s">
        <v>34</v>
      </c>
      <c r="F87" s="73" t="s">
        <v>47</v>
      </c>
      <c r="G87" s="72" t="s">
        <v>85</v>
      </c>
      <c r="H87" s="47">
        <f>IF('Lançamento Diário'!W9="","",'Lançamento Diário'!W9)</f>
        <v>0</v>
      </c>
    </row>
    <row r="88" spans="2:8" x14ac:dyDescent="0.25">
      <c r="B88" s="71">
        <v>46256</v>
      </c>
      <c r="C88" s="72">
        <v>22</v>
      </c>
      <c r="D88" s="72" t="s">
        <v>96</v>
      </c>
      <c r="E88" s="73" t="s">
        <v>34</v>
      </c>
      <c r="F88" s="73" t="s">
        <v>47</v>
      </c>
      <c r="G88" s="72" t="s">
        <v>85</v>
      </c>
      <c r="H88" s="47">
        <f>IF('Lançamento Diário'!X9="","",'Lançamento Diário'!X9)</f>
        <v>0</v>
      </c>
    </row>
    <row r="89" spans="2:8" x14ac:dyDescent="0.25">
      <c r="B89" s="71">
        <v>46257</v>
      </c>
      <c r="C89" s="72">
        <v>23</v>
      </c>
      <c r="D89" s="72" t="s">
        <v>97</v>
      </c>
      <c r="E89" s="73" t="s">
        <v>34</v>
      </c>
      <c r="F89" s="73" t="s">
        <v>47</v>
      </c>
      <c r="G89" s="72" t="s">
        <v>85</v>
      </c>
      <c r="H89" s="47">
        <f>IF('Lançamento Diário'!Y9="","",'Lançamento Diário'!Y9)</f>
        <v>0</v>
      </c>
    </row>
    <row r="90" spans="2:8" x14ac:dyDescent="0.25">
      <c r="B90" s="71">
        <v>46258</v>
      </c>
      <c r="C90" s="72">
        <v>24</v>
      </c>
      <c r="D90" s="72" t="s">
        <v>98</v>
      </c>
      <c r="E90" s="73" t="s">
        <v>34</v>
      </c>
      <c r="F90" s="73" t="s">
        <v>47</v>
      </c>
      <c r="G90" s="72" t="s">
        <v>85</v>
      </c>
      <c r="H90" s="47">
        <f>IF('Lançamento Diário'!Z9="","",'Lançamento Diário'!Z9)</f>
        <v>1</v>
      </c>
    </row>
    <row r="91" spans="2:8" x14ac:dyDescent="0.25">
      <c r="B91" s="71">
        <v>46259</v>
      </c>
      <c r="C91" s="72">
        <v>25</v>
      </c>
      <c r="D91" s="72" t="s">
        <v>99</v>
      </c>
      <c r="E91" s="73" t="s">
        <v>34</v>
      </c>
      <c r="F91" s="73" t="s">
        <v>47</v>
      </c>
      <c r="G91" s="72" t="s">
        <v>85</v>
      </c>
      <c r="H91" s="47">
        <f>IF('Lançamento Diário'!AA9="","",'Lançamento Diário'!AA9)</f>
        <v>1</v>
      </c>
    </row>
    <row r="92" spans="2:8" x14ac:dyDescent="0.25">
      <c r="B92" s="71">
        <v>46260</v>
      </c>
      <c r="C92" s="72">
        <v>26</v>
      </c>
      <c r="D92" s="72" t="s">
        <v>100</v>
      </c>
      <c r="E92" s="73" t="s">
        <v>34</v>
      </c>
      <c r="F92" s="73" t="s">
        <v>47</v>
      </c>
      <c r="G92" s="72" t="s">
        <v>85</v>
      </c>
      <c r="H92" s="47">
        <f>IF('Lançamento Diário'!AB9="","",'Lançamento Diário'!AB9)</f>
        <v>0</v>
      </c>
    </row>
    <row r="93" spans="2:8" x14ac:dyDescent="0.25">
      <c r="B93" s="71">
        <v>46261</v>
      </c>
      <c r="C93" s="72">
        <v>27</v>
      </c>
      <c r="D93" s="72" t="s">
        <v>101</v>
      </c>
      <c r="E93" s="73" t="s">
        <v>34</v>
      </c>
      <c r="F93" s="73" t="s">
        <v>47</v>
      </c>
      <c r="G93" s="72" t="s">
        <v>85</v>
      </c>
      <c r="H93" s="47">
        <f>IF('Lançamento Diário'!AC9="","",'Lançamento Diário'!AC9)</f>
        <v>0</v>
      </c>
    </row>
    <row r="94" spans="2:8" x14ac:dyDescent="0.25">
      <c r="B94" s="71">
        <v>46262</v>
      </c>
      <c r="C94" s="72">
        <v>28</v>
      </c>
      <c r="D94" s="72" t="s">
        <v>102</v>
      </c>
      <c r="E94" s="73" t="s">
        <v>34</v>
      </c>
      <c r="F94" s="73" t="s">
        <v>47</v>
      </c>
      <c r="G94" s="72" t="s">
        <v>85</v>
      </c>
      <c r="H94" s="47">
        <f>IF('Lançamento Diário'!AD9="","",'Lançamento Diário'!AD9)</f>
        <v>0</v>
      </c>
    </row>
    <row r="95" spans="2:8" x14ac:dyDescent="0.25">
      <c r="B95" s="71">
        <v>46263</v>
      </c>
      <c r="C95" s="72">
        <v>29</v>
      </c>
      <c r="D95" s="72" t="s">
        <v>96</v>
      </c>
      <c r="E95" s="73" t="s">
        <v>34</v>
      </c>
      <c r="F95" s="73" t="s">
        <v>47</v>
      </c>
      <c r="G95" s="72" t="s">
        <v>85</v>
      </c>
      <c r="H95" s="47">
        <f>IF('Lançamento Diário'!AE9="","",'Lançamento Diário'!AE9)</f>
        <v>0</v>
      </c>
    </row>
    <row r="96" spans="2:8" x14ac:dyDescent="0.25">
      <c r="B96" s="71">
        <v>46264</v>
      </c>
      <c r="C96" s="72">
        <v>30</v>
      </c>
      <c r="D96" s="72" t="s">
        <v>97</v>
      </c>
      <c r="E96" s="73" t="s">
        <v>34</v>
      </c>
      <c r="F96" s="73" t="s">
        <v>47</v>
      </c>
      <c r="G96" s="72" t="s">
        <v>85</v>
      </c>
      <c r="H96" s="47">
        <f>IF('Lançamento Diário'!AF9="","",'Lançamento Diário'!AF9)</f>
        <v>0</v>
      </c>
    </row>
    <row r="97" spans="2:8" x14ac:dyDescent="0.25">
      <c r="B97" s="71">
        <v>46265</v>
      </c>
      <c r="C97" s="72">
        <v>31</v>
      </c>
      <c r="D97" s="72" t="s">
        <v>98</v>
      </c>
      <c r="E97" s="73" t="s">
        <v>34</v>
      </c>
      <c r="F97" s="73" t="s">
        <v>47</v>
      </c>
      <c r="G97" s="72" t="s">
        <v>85</v>
      </c>
      <c r="H97" s="47">
        <f>IF('Lançamento Diário'!AG9="","",'Lançamento Diário'!AG9)</f>
        <v>1</v>
      </c>
    </row>
    <row r="98" spans="2:8" x14ac:dyDescent="0.25">
      <c r="B98" s="71">
        <v>46235</v>
      </c>
      <c r="C98" s="72">
        <v>1</v>
      </c>
      <c r="D98" s="72" t="s">
        <v>96</v>
      </c>
      <c r="E98" s="73" t="s">
        <v>34</v>
      </c>
      <c r="F98" s="73" t="s">
        <v>48</v>
      </c>
      <c r="G98" s="72" t="s">
        <v>85</v>
      </c>
      <c r="H98" s="47">
        <f>IF('Lançamento Diário'!C10="","",'Lançamento Diário'!C10)</f>
        <v>5</v>
      </c>
    </row>
    <row r="99" spans="2:8" x14ac:dyDescent="0.25">
      <c r="B99" s="71">
        <v>46236</v>
      </c>
      <c r="C99" s="72">
        <v>2</v>
      </c>
      <c r="D99" s="72" t="s">
        <v>97</v>
      </c>
      <c r="E99" s="73" t="s">
        <v>34</v>
      </c>
      <c r="F99" s="73" t="s">
        <v>48</v>
      </c>
      <c r="G99" s="72" t="s">
        <v>85</v>
      </c>
      <c r="H99" s="47">
        <f>IF('Lançamento Diário'!D10="","",'Lançamento Diário'!D10)</f>
        <v>1</v>
      </c>
    </row>
    <row r="100" spans="2:8" x14ac:dyDescent="0.25">
      <c r="B100" s="71">
        <v>46237</v>
      </c>
      <c r="C100" s="72">
        <v>3</v>
      </c>
      <c r="D100" s="72" t="s">
        <v>98</v>
      </c>
      <c r="E100" s="73" t="s">
        <v>34</v>
      </c>
      <c r="F100" s="73" t="s">
        <v>48</v>
      </c>
      <c r="G100" s="72" t="s">
        <v>85</v>
      </c>
      <c r="H100" s="47">
        <f>IF('Lançamento Diário'!E10="","",'Lançamento Diário'!E10)</f>
        <v>7</v>
      </c>
    </row>
    <row r="101" spans="2:8" x14ac:dyDescent="0.25">
      <c r="B101" s="71">
        <v>46238</v>
      </c>
      <c r="C101" s="72">
        <v>4</v>
      </c>
      <c r="D101" s="72" t="s">
        <v>99</v>
      </c>
      <c r="E101" s="73" t="s">
        <v>34</v>
      </c>
      <c r="F101" s="73" t="s">
        <v>48</v>
      </c>
      <c r="G101" s="72" t="s">
        <v>85</v>
      </c>
      <c r="H101" s="47">
        <f>IF('Lançamento Diário'!F10="","",'Lançamento Diário'!F10)</f>
        <v>14</v>
      </c>
    </row>
    <row r="102" spans="2:8" x14ac:dyDescent="0.25">
      <c r="B102" s="71">
        <v>46239</v>
      </c>
      <c r="C102" s="72">
        <v>5</v>
      </c>
      <c r="D102" s="72" t="s">
        <v>100</v>
      </c>
      <c r="E102" s="73" t="s">
        <v>34</v>
      </c>
      <c r="F102" s="73" t="s">
        <v>48</v>
      </c>
      <c r="G102" s="72" t="s">
        <v>85</v>
      </c>
      <c r="H102" s="47">
        <f>IF('Lançamento Diário'!G10="","",'Lançamento Diário'!G10)</f>
        <v>13</v>
      </c>
    </row>
    <row r="103" spans="2:8" x14ac:dyDescent="0.25">
      <c r="B103" s="71">
        <v>46240</v>
      </c>
      <c r="C103" s="72">
        <v>6</v>
      </c>
      <c r="D103" s="72" t="s">
        <v>101</v>
      </c>
      <c r="E103" s="73" t="s">
        <v>34</v>
      </c>
      <c r="F103" s="73" t="s">
        <v>48</v>
      </c>
      <c r="G103" s="72" t="s">
        <v>85</v>
      </c>
      <c r="H103" s="47">
        <f>IF('Lançamento Diário'!H10="","",'Lançamento Diário'!H10)</f>
        <v>12</v>
      </c>
    </row>
    <row r="104" spans="2:8" x14ac:dyDescent="0.25">
      <c r="B104" s="71">
        <v>46241</v>
      </c>
      <c r="C104" s="72">
        <v>7</v>
      </c>
      <c r="D104" s="72" t="s">
        <v>102</v>
      </c>
      <c r="E104" s="73" t="s">
        <v>34</v>
      </c>
      <c r="F104" s="73" t="s">
        <v>48</v>
      </c>
      <c r="G104" s="72" t="s">
        <v>85</v>
      </c>
      <c r="H104" s="47">
        <f>IF('Lançamento Diário'!I10="","",'Lançamento Diário'!I10)</f>
        <v>9</v>
      </c>
    </row>
    <row r="105" spans="2:8" x14ac:dyDescent="0.25">
      <c r="B105" s="71">
        <v>46242</v>
      </c>
      <c r="C105" s="72">
        <v>8</v>
      </c>
      <c r="D105" s="72" t="s">
        <v>96</v>
      </c>
      <c r="E105" s="73" t="s">
        <v>34</v>
      </c>
      <c r="F105" s="73" t="s">
        <v>48</v>
      </c>
      <c r="G105" s="72" t="s">
        <v>85</v>
      </c>
      <c r="H105" s="47">
        <f>IF('Lançamento Diário'!J10="","",'Lançamento Diário'!J10)</f>
        <v>11</v>
      </c>
    </row>
    <row r="106" spans="2:8" x14ac:dyDescent="0.25">
      <c r="B106" s="71">
        <v>46243</v>
      </c>
      <c r="C106" s="72">
        <v>9</v>
      </c>
      <c r="D106" s="72" t="s">
        <v>97</v>
      </c>
      <c r="E106" s="73" t="s">
        <v>34</v>
      </c>
      <c r="F106" s="73" t="s">
        <v>48</v>
      </c>
      <c r="G106" s="72" t="s">
        <v>85</v>
      </c>
      <c r="H106" s="47">
        <f>IF('Lançamento Diário'!K10="","",'Lançamento Diário'!K10)</f>
        <v>0</v>
      </c>
    </row>
    <row r="107" spans="2:8" x14ac:dyDescent="0.25">
      <c r="B107" s="71">
        <v>46244</v>
      </c>
      <c r="C107" s="72">
        <v>10</v>
      </c>
      <c r="D107" s="72" t="s">
        <v>98</v>
      </c>
      <c r="E107" s="73" t="s">
        <v>34</v>
      </c>
      <c r="F107" s="73" t="s">
        <v>48</v>
      </c>
      <c r="G107" s="72" t="s">
        <v>85</v>
      </c>
      <c r="H107" s="47">
        <f>IF('Lançamento Diário'!L10="","",'Lançamento Diário'!L10)</f>
        <v>0</v>
      </c>
    </row>
    <row r="108" spans="2:8" x14ac:dyDescent="0.25">
      <c r="B108" s="71">
        <v>46245</v>
      </c>
      <c r="C108" s="72">
        <v>11</v>
      </c>
      <c r="D108" s="72" t="s">
        <v>99</v>
      </c>
      <c r="E108" s="73" t="s">
        <v>34</v>
      </c>
      <c r="F108" s="73" t="s">
        <v>48</v>
      </c>
      <c r="G108" s="72" t="s">
        <v>85</v>
      </c>
      <c r="H108" s="47">
        <f>IF('Lançamento Diário'!M10="","",'Lançamento Diário'!M10)</f>
        <v>11</v>
      </c>
    </row>
    <row r="109" spans="2:8" x14ac:dyDescent="0.25">
      <c r="B109" s="71">
        <v>46246</v>
      </c>
      <c r="C109" s="72">
        <v>12</v>
      </c>
      <c r="D109" s="72" t="s">
        <v>100</v>
      </c>
      <c r="E109" s="73" t="s">
        <v>34</v>
      </c>
      <c r="F109" s="73" t="s">
        <v>48</v>
      </c>
      <c r="G109" s="72" t="s">
        <v>85</v>
      </c>
      <c r="H109" s="47">
        <f>IF('Lançamento Diário'!N10="","",'Lançamento Diário'!N10)</f>
        <v>8</v>
      </c>
    </row>
    <row r="110" spans="2:8" x14ac:dyDescent="0.25">
      <c r="B110" s="71">
        <v>46247</v>
      </c>
      <c r="C110" s="72">
        <v>13</v>
      </c>
      <c r="D110" s="72" t="s">
        <v>101</v>
      </c>
      <c r="E110" s="73" t="s">
        <v>34</v>
      </c>
      <c r="F110" s="73" t="s">
        <v>48</v>
      </c>
      <c r="G110" s="72" t="s">
        <v>85</v>
      </c>
      <c r="H110" s="47">
        <f>IF('Lançamento Diário'!O10="","",'Lançamento Diário'!O10)</f>
        <v>5</v>
      </c>
    </row>
    <row r="111" spans="2:8" x14ac:dyDescent="0.25">
      <c r="B111" s="71">
        <v>46248</v>
      </c>
      <c r="C111" s="72">
        <v>14</v>
      </c>
      <c r="D111" s="72" t="s">
        <v>102</v>
      </c>
      <c r="E111" s="73" t="s">
        <v>34</v>
      </c>
      <c r="F111" s="73" t="s">
        <v>48</v>
      </c>
      <c r="G111" s="72" t="s">
        <v>85</v>
      </c>
      <c r="H111" s="47">
        <f>IF('Lançamento Diário'!P10="","",'Lançamento Diário'!P10)</f>
        <v>5</v>
      </c>
    </row>
    <row r="112" spans="2:8" x14ac:dyDescent="0.25">
      <c r="B112" s="71">
        <v>46249</v>
      </c>
      <c r="C112" s="72">
        <v>15</v>
      </c>
      <c r="D112" s="72" t="s">
        <v>96</v>
      </c>
      <c r="E112" s="73" t="s">
        <v>34</v>
      </c>
      <c r="F112" s="73" t="s">
        <v>48</v>
      </c>
      <c r="G112" s="72" t="s">
        <v>85</v>
      </c>
      <c r="H112" s="47">
        <f>IF('Lançamento Diário'!Q10="","",'Lançamento Diário'!Q10)</f>
        <v>5</v>
      </c>
    </row>
    <row r="113" spans="2:8" x14ac:dyDescent="0.25">
      <c r="B113" s="71">
        <v>46250</v>
      </c>
      <c r="C113" s="72">
        <v>16</v>
      </c>
      <c r="D113" s="72" t="s">
        <v>97</v>
      </c>
      <c r="E113" s="73" t="s">
        <v>34</v>
      </c>
      <c r="F113" s="73" t="s">
        <v>48</v>
      </c>
      <c r="G113" s="72" t="s">
        <v>85</v>
      </c>
      <c r="H113" s="47">
        <f>IF('Lançamento Diário'!R10="","",'Lançamento Diário'!R10)</f>
        <v>0</v>
      </c>
    </row>
    <row r="114" spans="2:8" x14ac:dyDescent="0.25">
      <c r="B114" s="71">
        <v>46251</v>
      </c>
      <c r="C114" s="72">
        <v>17</v>
      </c>
      <c r="D114" s="72" t="s">
        <v>98</v>
      </c>
      <c r="E114" s="73" t="s">
        <v>34</v>
      </c>
      <c r="F114" s="73" t="s">
        <v>48</v>
      </c>
      <c r="G114" s="72" t="s">
        <v>85</v>
      </c>
      <c r="H114" s="47">
        <f>IF('Lançamento Diário'!S10="","",'Lançamento Diário'!S10)</f>
        <v>7</v>
      </c>
    </row>
    <row r="115" spans="2:8" x14ac:dyDescent="0.25">
      <c r="B115" s="71">
        <v>46252</v>
      </c>
      <c r="C115" s="72">
        <v>18</v>
      </c>
      <c r="D115" s="72" t="s">
        <v>99</v>
      </c>
      <c r="E115" s="73" t="s">
        <v>34</v>
      </c>
      <c r="F115" s="73" t="s">
        <v>48</v>
      </c>
      <c r="G115" s="72" t="s">
        <v>85</v>
      </c>
      <c r="H115" s="47">
        <f>IF('Lançamento Diário'!T10="","",'Lançamento Diário'!T10)</f>
        <v>4</v>
      </c>
    </row>
    <row r="116" spans="2:8" x14ac:dyDescent="0.25">
      <c r="B116" s="71">
        <v>46253</v>
      </c>
      <c r="C116" s="72">
        <v>19</v>
      </c>
      <c r="D116" s="72" t="s">
        <v>100</v>
      </c>
      <c r="E116" s="73" t="s">
        <v>34</v>
      </c>
      <c r="F116" s="73" t="s">
        <v>48</v>
      </c>
      <c r="G116" s="72" t="s">
        <v>85</v>
      </c>
      <c r="H116" s="47">
        <f>IF('Lançamento Diário'!U10="","",'Lançamento Diário'!U10)</f>
        <v>9</v>
      </c>
    </row>
    <row r="117" spans="2:8" x14ac:dyDescent="0.25">
      <c r="B117" s="71">
        <v>46254</v>
      </c>
      <c r="C117" s="72">
        <v>20</v>
      </c>
      <c r="D117" s="72" t="s">
        <v>101</v>
      </c>
      <c r="E117" s="73" t="s">
        <v>34</v>
      </c>
      <c r="F117" s="73" t="s">
        <v>48</v>
      </c>
      <c r="G117" s="72" t="s">
        <v>85</v>
      </c>
      <c r="H117" s="47">
        <f>IF('Lançamento Diário'!V10="","",'Lançamento Diário'!V10)</f>
        <v>2</v>
      </c>
    </row>
    <row r="118" spans="2:8" x14ac:dyDescent="0.25">
      <c r="B118" s="71">
        <v>46255</v>
      </c>
      <c r="C118" s="72">
        <v>21</v>
      </c>
      <c r="D118" s="72" t="s">
        <v>102</v>
      </c>
      <c r="E118" s="73" t="s">
        <v>34</v>
      </c>
      <c r="F118" s="73" t="s">
        <v>48</v>
      </c>
      <c r="G118" s="72" t="s">
        <v>85</v>
      </c>
      <c r="H118" s="47">
        <f>IF('Lançamento Diário'!W10="","",'Lançamento Diário'!W10)</f>
        <v>5</v>
      </c>
    </row>
    <row r="119" spans="2:8" x14ac:dyDescent="0.25">
      <c r="B119" s="71">
        <v>46256</v>
      </c>
      <c r="C119" s="72">
        <v>22</v>
      </c>
      <c r="D119" s="72" t="s">
        <v>96</v>
      </c>
      <c r="E119" s="73" t="s">
        <v>34</v>
      </c>
      <c r="F119" s="73" t="s">
        <v>48</v>
      </c>
      <c r="G119" s="72" t="s">
        <v>85</v>
      </c>
      <c r="H119" s="47">
        <f>IF('Lançamento Diário'!X10="","",'Lançamento Diário'!X10)</f>
        <v>7</v>
      </c>
    </row>
    <row r="120" spans="2:8" x14ac:dyDescent="0.25">
      <c r="B120" s="71">
        <v>46257</v>
      </c>
      <c r="C120" s="72">
        <v>23</v>
      </c>
      <c r="D120" s="72" t="s">
        <v>97</v>
      </c>
      <c r="E120" s="73" t="s">
        <v>34</v>
      </c>
      <c r="F120" s="73" t="s">
        <v>48</v>
      </c>
      <c r="G120" s="72" t="s">
        <v>85</v>
      </c>
      <c r="H120" s="47">
        <f>IF('Lançamento Diário'!Y10="","",'Lançamento Diário'!Y10)</f>
        <v>0</v>
      </c>
    </row>
    <row r="121" spans="2:8" x14ac:dyDescent="0.25">
      <c r="B121" s="71">
        <v>46258</v>
      </c>
      <c r="C121" s="72">
        <v>24</v>
      </c>
      <c r="D121" s="72" t="s">
        <v>98</v>
      </c>
      <c r="E121" s="73" t="s">
        <v>34</v>
      </c>
      <c r="F121" s="73" t="s">
        <v>48</v>
      </c>
      <c r="G121" s="72" t="s">
        <v>85</v>
      </c>
      <c r="H121" s="47">
        <f>IF('Lançamento Diário'!Z10="","",'Lançamento Diário'!Z10)</f>
        <v>12</v>
      </c>
    </row>
    <row r="122" spans="2:8" x14ac:dyDescent="0.25">
      <c r="B122" s="71">
        <v>46259</v>
      </c>
      <c r="C122" s="72">
        <v>25</v>
      </c>
      <c r="D122" s="72" t="s">
        <v>99</v>
      </c>
      <c r="E122" s="73" t="s">
        <v>34</v>
      </c>
      <c r="F122" s="73" t="s">
        <v>48</v>
      </c>
      <c r="G122" s="72" t="s">
        <v>85</v>
      </c>
      <c r="H122" s="47">
        <f>IF('Lançamento Diário'!AA10="","",'Lançamento Diário'!AA10)</f>
        <v>12</v>
      </c>
    </row>
    <row r="123" spans="2:8" x14ac:dyDescent="0.25">
      <c r="B123" s="71">
        <v>46260</v>
      </c>
      <c r="C123" s="72">
        <v>26</v>
      </c>
      <c r="D123" s="72" t="s">
        <v>100</v>
      </c>
      <c r="E123" s="73" t="s">
        <v>34</v>
      </c>
      <c r="F123" s="73" t="s">
        <v>48</v>
      </c>
      <c r="G123" s="72" t="s">
        <v>85</v>
      </c>
      <c r="H123" s="47">
        <f>IF('Lançamento Diário'!AB10="","",'Lançamento Diário'!AB10)</f>
        <v>2</v>
      </c>
    </row>
    <row r="124" spans="2:8" x14ac:dyDescent="0.25">
      <c r="B124" s="71">
        <v>46261</v>
      </c>
      <c r="C124" s="72">
        <v>27</v>
      </c>
      <c r="D124" s="72" t="s">
        <v>101</v>
      </c>
      <c r="E124" s="73" t="s">
        <v>34</v>
      </c>
      <c r="F124" s="73" t="s">
        <v>48</v>
      </c>
      <c r="G124" s="72" t="s">
        <v>85</v>
      </c>
      <c r="H124" s="47">
        <f>IF('Lançamento Diário'!AC10="","",'Lançamento Diário'!AC10)</f>
        <v>3</v>
      </c>
    </row>
    <row r="125" spans="2:8" x14ac:dyDescent="0.25">
      <c r="B125" s="71">
        <v>46262</v>
      </c>
      <c r="C125" s="72">
        <v>28</v>
      </c>
      <c r="D125" s="72" t="s">
        <v>102</v>
      </c>
      <c r="E125" s="73" t="s">
        <v>34</v>
      </c>
      <c r="F125" s="73" t="s">
        <v>48</v>
      </c>
      <c r="G125" s="72" t="s">
        <v>85</v>
      </c>
      <c r="H125" s="47">
        <f>IF('Lançamento Diário'!AD10="","",'Lançamento Diário'!AD10)</f>
        <v>5</v>
      </c>
    </row>
    <row r="126" spans="2:8" x14ac:dyDescent="0.25">
      <c r="B126" s="71">
        <v>46263</v>
      </c>
      <c r="C126" s="72">
        <v>29</v>
      </c>
      <c r="D126" s="72" t="s">
        <v>96</v>
      </c>
      <c r="E126" s="73" t="s">
        <v>34</v>
      </c>
      <c r="F126" s="73" t="s">
        <v>48</v>
      </c>
      <c r="G126" s="72" t="s">
        <v>85</v>
      </c>
      <c r="H126" s="47">
        <f>IF('Lançamento Diário'!AE10="","",'Lançamento Diário'!AE10)</f>
        <v>4</v>
      </c>
    </row>
    <row r="127" spans="2:8" x14ac:dyDescent="0.25">
      <c r="B127" s="71">
        <v>46264</v>
      </c>
      <c r="C127" s="72">
        <v>30</v>
      </c>
      <c r="D127" s="72" t="s">
        <v>97</v>
      </c>
      <c r="E127" s="73" t="s">
        <v>34</v>
      </c>
      <c r="F127" s="73" t="s">
        <v>48</v>
      </c>
      <c r="G127" s="72" t="s">
        <v>85</v>
      </c>
      <c r="H127" s="47">
        <f>IF('Lançamento Diário'!AF10="","",'Lançamento Diário'!AF10)</f>
        <v>0</v>
      </c>
    </row>
    <row r="128" spans="2:8" x14ac:dyDescent="0.25">
      <c r="B128" s="71">
        <v>46265</v>
      </c>
      <c r="C128" s="72">
        <v>31</v>
      </c>
      <c r="D128" s="72" t="s">
        <v>98</v>
      </c>
      <c r="E128" s="73" t="s">
        <v>34</v>
      </c>
      <c r="F128" s="73" t="s">
        <v>48</v>
      </c>
      <c r="G128" s="72" t="s">
        <v>85</v>
      </c>
      <c r="H128" s="47">
        <f>IF('Lançamento Diário'!AG10="","",'Lançamento Diário'!AG10)</f>
        <v>9</v>
      </c>
    </row>
    <row r="129" spans="2:8" x14ac:dyDescent="0.25">
      <c r="B129" s="71">
        <v>46235</v>
      </c>
      <c r="C129" s="72">
        <v>1</v>
      </c>
      <c r="D129" s="72" t="s">
        <v>96</v>
      </c>
      <c r="E129" s="73" t="s">
        <v>34</v>
      </c>
      <c r="F129" s="73" t="s">
        <v>49</v>
      </c>
      <c r="G129" s="72" t="s">
        <v>49</v>
      </c>
      <c r="H129" s="47">
        <f>IF('Lançamento Diário'!C11="","",'Lançamento Diário'!C11)</f>
        <v>1</v>
      </c>
    </row>
    <row r="130" spans="2:8" x14ac:dyDescent="0.25">
      <c r="B130" s="71">
        <v>46236</v>
      </c>
      <c r="C130" s="72">
        <v>2</v>
      </c>
      <c r="D130" s="72" t="s">
        <v>97</v>
      </c>
      <c r="E130" s="73" t="s">
        <v>34</v>
      </c>
      <c r="F130" s="73" t="s">
        <v>49</v>
      </c>
      <c r="G130" s="72" t="s">
        <v>49</v>
      </c>
      <c r="H130" s="47">
        <f>IF('Lançamento Diário'!D11="","",'Lançamento Diário'!D11)</f>
        <v>0</v>
      </c>
    </row>
    <row r="131" spans="2:8" x14ac:dyDescent="0.25">
      <c r="B131" s="71">
        <v>46237</v>
      </c>
      <c r="C131" s="72">
        <v>3</v>
      </c>
      <c r="D131" s="72" t="s">
        <v>98</v>
      </c>
      <c r="E131" s="73" t="s">
        <v>34</v>
      </c>
      <c r="F131" s="73" t="s">
        <v>49</v>
      </c>
      <c r="G131" s="72" t="s">
        <v>49</v>
      </c>
      <c r="H131" s="47">
        <f>IF('Lançamento Diário'!E11="","",'Lançamento Diário'!E11)</f>
        <v>1</v>
      </c>
    </row>
    <row r="132" spans="2:8" x14ac:dyDescent="0.25">
      <c r="B132" s="71">
        <v>46238</v>
      </c>
      <c r="C132" s="72">
        <v>4</v>
      </c>
      <c r="D132" s="72" t="s">
        <v>99</v>
      </c>
      <c r="E132" s="73" t="s">
        <v>34</v>
      </c>
      <c r="F132" s="73" t="s">
        <v>49</v>
      </c>
      <c r="G132" s="72" t="s">
        <v>49</v>
      </c>
      <c r="H132" s="47">
        <f>IF('Lançamento Diário'!F11="","",'Lançamento Diário'!F11)</f>
        <v>1</v>
      </c>
    </row>
    <row r="133" spans="2:8" x14ac:dyDescent="0.25">
      <c r="B133" s="71">
        <v>46239</v>
      </c>
      <c r="C133" s="72">
        <v>5</v>
      </c>
      <c r="D133" s="72" t="s">
        <v>100</v>
      </c>
      <c r="E133" s="73" t="s">
        <v>34</v>
      </c>
      <c r="F133" s="73" t="s">
        <v>49</v>
      </c>
      <c r="G133" s="72" t="s">
        <v>49</v>
      </c>
      <c r="H133" s="47">
        <f>IF('Lançamento Diário'!G11="","",'Lançamento Diário'!G11)</f>
        <v>1</v>
      </c>
    </row>
    <row r="134" spans="2:8" x14ac:dyDescent="0.25">
      <c r="B134" s="71">
        <v>46240</v>
      </c>
      <c r="C134" s="72">
        <v>6</v>
      </c>
      <c r="D134" s="72" t="s">
        <v>101</v>
      </c>
      <c r="E134" s="73" t="s">
        <v>34</v>
      </c>
      <c r="F134" s="73" t="s">
        <v>49</v>
      </c>
      <c r="G134" s="72" t="s">
        <v>49</v>
      </c>
      <c r="H134" s="47">
        <f>IF('Lançamento Diário'!H11="","",'Lançamento Diário'!H11)</f>
        <v>5</v>
      </c>
    </row>
    <row r="135" spans="2:8" x14ac:dyDescent="0.25">
      <c r="B135" s="71">
        <v>46241</v>
      </c>
      <c r="C135" s="72">
        <v>7</v>
      </c>
      <c r="D135" s="72" t="s">
        <v>102</v>
      </c>
      <c r="E135" s="73" t="s">
        <v>34</v>
      </c>
      <c r="F135" s="73" t="s">
        <v>49</v>
      </c>
      <c r="G135" s="72" t="s">
        <v>49</v>
      </c>
      <c r="H135" s="47">
        <f>IF('Lançamento Diário'!I11="","",'Lançamento Diário'!I11)</f>
        <v>2</v>
      </c>
    </row>
    <row r="136" spans="2:8" x14ac:dyDescent="0.25">
      <c r="B136" s="71">
        <v>46242</v>
      </c>
      <c r="C136" s="72">
        <v>8</v>
      </c>
      <c r="D136" s="72" t="s">
        <v>96</v>
      </c>
      <c r="E136" s="73" t="s">
        <v>34</v>
      </c>
      <c r="F136" s="73" t="s">
        <v>49</v>
      </c>
      <c r="G136" s="72" t="s">
        <v>49</v>
      </c>
      <c r="H136" s="47">
        <f>IF('Lançamento Diário'!J11="","",'Lançamento Diário'!J11)</f>
        <v>1</v>
      </c>
    </row>
    <row r="137" spans="2:8" x14ac:dyDescent="0.25">
      <c r="B137" s="71">
        <v>46243</v>
      </c>
      <c r="C137" s="72">
        <v>9</v>
      </c>
      <c r="D137" s="72" t="s">
        <v>97</v>
      </c>
      <c r="E137" s="73" t="s">
        <v>34</v>
      </c>
      <c r="F137" s="73" t="s">
        <v>49</v>
      </c>
      <c r="G137" s="72" t="s">
        <v>49</v>
      </c>
      <c r="H137" s="47">
        <f>IF('Lançamento Diário'!K11="","",'Lançamento Diário'!K11)</f>
        <v>0</v>
      </c>
    </row>
    <row r="138" spans="2:8" x14ac:dyDescent="0.25">
      <c r="B138" s="71">
        <v>46244</v>
      </c>
      <c r="C138" s="72">
        <v>10</v>
      </c>
      <c r="D138" s="72" t="s">
        <v>98</v>
      </c>
      <c r="E138" s="73" t="s">
        <v>34</v>
      </c>
      <c r="F138" s="73" t="s">
        <v>49</v>
      </c>
      <c r="G138" s="72" t="s">
        <v>49</v>
      </c>
      <c r="H138" s="47">
        <f>IF('Lançamento Diário'!L11="","",'Lançamento Diário'!L11)</f>
        <v>0</v>
      </c>
    </row>
    <row r="139" spans="2:8" x14ac:dyDescent="0.25">
      <c r="B139" s="71">
        <v>46245</v>
      </c>
      <c r="C139" s="72">
        <v>11</v>
      </c>
      <c r="D139" s="72" t="s">
        <v>99</v>
      </c>
      <c r="E139" s="73" t="s">
        <v>34</v>
      </c>
      <c r="F139" s="73" t="s">
        <v>49</v>
      </c>
      <c r="G139" s="72" t="s">
        <v>49</v>
      </c>
      <c r="H139" s="47">
        <f>IF('Lançamento Diário'!M11="","",'Lançamento Diário'!M11)</f>
        <v>2</v>
      </c>
    </row>
    <row r="140" spans="2:8" x14ac:dyDescent="0.25">
      <c r="B140" s="71">
        <v>46246</v>
      </c>
      <c r="C140" s="72">
        <v>12</v>
      </c>
      <c r="D140" s="72" t="s">
        <v>100</v>
      </c>
      <c r="E140" s="73" t="s">
        <v>34</v>
      </c>
      <c r="F140" s="73" t="s">
        <v>49</v>
      </c>
      <c r="G140" s="72" t="s">
        <v>49</v>
      </c>
      <c r="H140" s="47">
        <f>IF('Lançamento Diário'!N11="","",'Lançamento Diário'!N11)</f>
        <v>0</v>
      </c>
    </row>
    <row r="141" spans="2:8" x14ac:dyDescent="0.25">
      <c r="B141" s="71">
        <v>46247</v>
      </c>
      <c r="C141" s="72">
        <v>13</v>
      </c>
      <c r="D141" s="72" t="s">
        <v>101</v>
      </c>
      <c r="E141" s="73" t="s">
        <v>34</v>
      </c>
      <c r="F141" s="73" t="s">
        <v>49</v>
      </c>
      <c r="G141" s="72" t="s">
        <v>49</v>
      </c>
      <c r="H141" s="47">
        <f>IF('Lançamento Diário'!O11="","",'Lançamento Diário'!O11)</f>
        <v>4</v>
      </c>
    </row>
    <row r="142" spans="2:8" x14ac:dyDescent="0.25">
      <c r="B142" s="71">
        <v>46248</v>
      </c>
      <c r="C142" s="72">
        <v>14</v>
      </c>
      <c r="D142" s="72" t="s">
        <v>102</v>
      </c>
      <c r="E142" s="73" t="s">
        <v>34</v>
      </c>
      <c r="F142" s="73" t="s">
        <v>49</v>
      </c>
      <c r="G142" s="72" t="s">
        <v>49</v>
      </c>
      <c r="H142" s="47">
        <f>IF('Lançamento Diário'!P11="","",'Lançamento Diário'!P11)</f>
        <v>1</v>
      </c>
    </row>
    <row r="143" spans="2:8" x14ac:dyDescent="0.25">
      <c r="B143" s="71">
        <v>46249</v>
      </c>
      <c r="C143" s="72">
        <v>15</v>
      </c>
      <c r="D143" s="72" t="s">
        <v>96</v>
      </c>
      <c r="E143" s="73" t="s">
        <v>34</v>
      </c>
      <c r="F143" s="73" t="s">
        <v>49</v>
      </c>
      <c r="G143" s="72" t="s">
        <v>49</v>
      </c>
      <c r="H143" s="47">
        <f>IF('Lançamento Diário'!Q11="","",'Lançamento Diário'!Q11)</f>
        <v>0</v>
      </c>
    </row>
    <row r="144" spans="2:8" x14ac:dyDescent="0.25">
      <c r="B144" s="71">
        <v>46250</v>
      </c>
      <c r="C144" s="72">
        <v>16</v>
      </c>
      <c r="D144" s="72" t="s">
        <v>97</v>
      </c>
      <c r="E144" s="73" t="s">
        <v>34</v>
      </c>
      <c r="F144" s="73" t="s">
        <v>49</v>
      </c>
      <c r="G144" s="72" t="s">
        <v>49</v>
      </c>
      <c r="H144" s="47">
        <f>IF('Lançamento Diário'!R11="","",'Lançamento Diário'!R11)</f>
        <v>0</v>
      </c>
    </row>
    <row r="145" spans="2:8" x14ac:dyDescent="0.25">
      <c r="B145" s="71">
        <v>46251</v>
      </c>
      <c r="C145" s="72">
        <v>17</v>
      </c>
      <c r="D145" s="72" t="s">
        <v>98</v>
      </c>
      <c r="E145" s="73" t="s">
        <v>34</v>
      </c>
      <c r="F145" s="73" t="s">
        <v>49</v>
      </c>
      <c r="G145" s="72" t="s">
        <v>49</v>
      </c>
      <c r="H145" s="47">
        <f>IF('Lançamento Diário'!S11="","",'Lançamento Diário'!S11)</f>
        <v>3</v>
      </c>
    </row>
    <row r="146" spans="2:8" x14ac:dyDescent="0.25">
      <c r="B146" s="71">
        <v>46252</v>
      </c>
      <c r="C146" s="72">
        <v>18</v>
      </c>
      <c r="D146" s="72" t="s">
        <v>99</v>
      </c>
      <c r="E146" s="73" t="s">
        <v>34</v>
      </c>
      <c r="F146" s="73" t="s">
        <v>49</v>
      </c>
      <c r="G146" s="72" t="s">
        <v>49</v>
      </c>
      <c r="H146" s="47">
        <f>IF('Lançamento Diário'!T11="","",'Lançamento Diário'!T11)</f>
        <v>3</v>
      </c>
    </row>
    <row r="147" spans="2:8" x14ac:dyDescent="0.25">
      <c r="B147" s="71">
        <v>46253</v>
      </c>
      <c r="C147" s="72">
        <v>19</v>
      </c>
      <c r="D147" s="72" t="s">
        <v>100</v>
      </c>
      <c r="E147" s="73" t="s">
        <v>34</v>
      </c>
      <c r="F147" s="73" t="s">
        <v>49</v>
      </c>
      <c r="G147" s="72" t="s">
        <v>49</v>
      </c>
      <c r="H147" s="47">
        <f>IF('Lançamento Diário'!U11="","",'Lançamento Diário'!U11)</f>
        <v>2</v>
      </c>
    </row>
    <row r="148" spans="2:8" x14ac:dyDescent="0.25">
      <c r="B148" s="71">
        <v>46254</v>
      </c>
      <c r="C148" s="72">
        <v>20</v>
      </c>
      <c r="D148" s="72" t="s">
        <v>101</v>
      </c>
      <c r="E148" s="73" t="s">
        <v>34</v>
      </c>
      <c r="F148" s="73" t="s">
        <v>49</v>
      </c>
      <c r="G148" s="72" t="s">
        <v>49</v>
      </c>
      <c r="H148" s="47">
        <f>IF('Lançamento Diário'!V11="","",'Lançamento Diário'!V11)</f>
        <v>4</v>
      </c>
    </row>
    <row r="149" spans="2:8" x14ac:dyDescent="0.25">
      <c r="B149" s="71">
        <v>46255</v>
      </c>
      <c r="C149" s="72">
        <v>21</v>
      </c>
      <c r="D149" s="72" t="s">
        <v>102</v>
      </c>
      <c r="E149" s="73" t="s">
        <v>34</v>
      </c>
      <c r="F149" s="73" t="s">
        <v>49</v>
      </c>
      <c r="G149" s="72" t="s">
        <v>49</v>
      </c>
      <c r="H149" s="47">
        <f>IF('Lançamento Diário'!W11="","",'Lançamento Diário'!W11)</f>
        <v>1</v>
      </c>
    </row>
    <row r="150" spans="2:8" x14ac:dyDescent="0.25">
      <c r="B150" s="71">
        <v>46256</v>
      </c>
      <c r="C150" s="72">
        <v>22</v>
      </c>
      <c r="D150" s="72" t="s">
        <v>96</v>
      </c>
      <c r="E150" s="73" t="s">
        <v>34</v>
      </c>
      <c r="F150" s="73" t="s">
        <v>49</v>
      </c>
      <c r="G150" s="72" t="s">
        <v>49</v>
      </c>
      <c r="H150" s="47">
        <f>IF('Lançamento Diário'!X11="","",'Lançamento Diário'!X11)</f>
        <v>0</v>
      </c>
    </row>
    <row r="151" spans="2:8" x14ac:dyDescent="0.25">
      <c r="B151" s="71">
        <v>46257</v>
      </c>
      <c r="C151" s="72">
        <v>23</v>
      </c>
      <c r="D151" s="72" t="s">
        <v>97</v>
      </c>
      <c r="E151" s="73" t="s">
        <v>34</v>
      </c>
      <c r="F151" s="73" t="s">
        <v>49</v>
      </c>
      <c r="G151" s="72" t="s">
        <v>49</v>
      </c>
      <c r="H151" s="47">
        <f>IF('Lançamento Diário'!Y11="","",'Lançamento Diário'!Y11)</f>
        <v>0</v>
      </c>
    </row>
    <row r="152" spans="2:8" x14ac:dyDescent="0.25">
      <c r="B152" s="71">
        <v>46258</v>
      </c>
      <c r="C152" s="72">
        <v>24</v>
      </c>
      <c r="D152" s="72" t="s">
        <v>98</v>
      </c>
      <c r="E152" s="73" t="s">
        <v>34</v>
      </c>
      <c r="F152" s="73" t="s">
        <v>49</v>
      </c>
      <c r="G152" s="72" t="s">
        <v>49</v>
      </c>
      <c r="H152" s="47">
        <f>IF('Lançamento Diário'!Z11="","",'Lançamento Diário'!Z11)</f>
        <v>3</v>
      </c>
    </row>
    <row r="153" spans="2:8" x14ac:dyDescent="0.25">
      <c r="B153" s="71">
        <v>46259</v>
      </c>
      <c r="C153" s="72">
        <v>25</v>
      </c>
      <c r="D153" s="72" t="s">
        <v>99</v>
      </c>
      <c r="E153" s="73" t="s">
        <v>34</v>
      </c>
      <c r="F153" s="73" t="s">
        <v>49</v>
      </c>
      <c r="G153" s="72" t="s">
        <v>49</v>
      </c>
      <c r="H153" s="47">
        <f>IF('Lançamento Diário'!AA11="","",'Lançamento Diário'!AA11)</f>
        <v>1</v>
      </c>
    </row>
    <row r="154" spans="2:8" x14ac:dyDescent="0.25">
      <c r="B154" s="71">
        <v>46260</v>
      </c>
      <c r="C154" s="72">
        <v>26</v>
      </c>
      <c r="D154" s="72" t="s">
        <v>100</v>
      </c>
      <c r="E154" s="73" t="s">
        <v>34</v>
      </c>
      <c r="F154" s="73" t="s">
        <v>49</v>
      </c>
      <c r="G154" s="72" t="s">
        <v>49</v>
      </c>
      <c r="H154" s="47">
        <f>IF('Lançamento Diário'!AB11="","",'Lançamento Diário'!AB11)</f>
        <v>2</v>
      </c>
    </row>
    <row r="155" spans="2:8" x14ac:dyDescent="0.25">
      <c r="B155" s="71">
        <v>46261</v>
      </c>
      <c r="C155" s="72">
        <v>27</v>
      </c>
      <c r="D155" s="72" t="s">
        <v>101</v>
      </c>
      <c r="E155" s="73" t="s">
        <v>34</v>
      </c>
      <c r="F155" s="73" t="s">
        <v>49</v>
      </c>
      <c r="G155" s="72" t="s">
        <v>49</v>
      </c>
      <c r="H155" s="47">
        <f>IF('Lançamento Diário'!AC11="","",'Lançamento Diário'!AC11)</f>
        <v>3</v>
      </c>
    </row>
    <row r="156" spans="2:8" x14ac:dyDescent="0.25">
      <c r="B156" s="71">
        <v>46262</v>
      </c>
      <c r="C156" s="72">
        <v>28</v>
      </c>
      <c r="D156" s="72" t="s">
        <v>102</v>
      </c>
      <c r="E156" s="73" t="s">
        <v>34</v>
      </c>
      <c r="F156" s="73" t="s">
        <v>49</v>
      </c>
      <c r="G156" s="72" t="s">
        <v>49</v>
      </c>
      <c r="H156" s="47">
        <f>IF('Lançamento Diário'!AD11="","",'Lançamento Diário'!AD11)</f>
        <v>1</v>
      </c>
    </row>
    <row r="157" spans="2:8" x14ac:dyDescent="0.25">
      <c r="B157" s="71">
        <v>46263</v>
      </c>
      <c r="C157" s="72">
        <v>29</v>
      </c>
      <c r="D157" s="72" t="s">
        <v>96</v>
      </c>
      <c r="E157" s="73" t="s">
        <v>34</v>
      </c>
      <c r="F157" s="73" t="s">
        <v>49</v>
      </c>
      <c r="G157" s="72" t="s">
        <v>49</v>
      </c>
      <c r="H157" s="47">
        <f>IF('Lançamento Diário'!AE11="","",'Lançamento Diário'!AE11)</f>
        <v>0</v>
      </c>
    </row>
    <row r="158" spans="2:8" x14ac:dyDescent="0.25">
      <c r="B158" s="71">
        <v>46264</v>
      </c>
      <c r="C158" s="72">
        <v>30</v>
      </c>
      <c r="D158" s="72" t="s">
        <v>97</v>
      </c>
      <c r="E158" s="73" t="s">
        <v>34</v>
      </c>
      <c r="F158" s="73" t="s">
        <v>49</v>
      </c>
      <c r="G158" s="72" t="s">
        <v>49</v>
      </c>
      <c r="H158" s="47">
        <f>IF('Lançamento Diário'!AF11="","",'Lançamento Diário'!AF11)</f>
        <v>0</v>
      </c>
    </row>
    <row r="159" spans="2:8" x14ac:dyDescent="0.25">
      <c r="B159" s="71">
        <v>46265</v>
      </c>
      <c r="C159" s="72">
        <v>31</v>
      </c>
      <c r="D159" s="72" t="s">
        <v>98</v>
      </c>
      <c r="E159" s="73" t="s">
        <v>34</v>
      </c>
      <c r="F159" s="73" t="s">
        <v>49</v>
      </c>
      <c r="G159" s="72" t="s">
        <v>49</v>
      </c>
      <c r="H159" s="47">
        <f>IF('Lançamento Diário'!AG11="","",'Lançamento Diário'!AG11)</f>
        <v>3</v>
      </c>
    </row>
    <row r="160" spans="2:8" x14ac:dyDescent="0.25">
      <c r="B160" s="71">
        <v>46235</v>
      </c>
      <c r="C160" s="72">
        <v>1</v>
      </c>
      <c r="D160" s="72" t="s">
        <v>96</v>
      </c>
      <c r="E160" s="73" t="s">
        <v>35</v>
      </c>
      <c r="F160" s="73" t="s">
        <v>45</v>
      </c>
      <c r="G160" s="72" t="s">
        <v>84</v>
      </c>
      <c r="H160" s="47">
        <f>IF('Lançamento Diário'!C15="","",'Lançamento Diário'!C15)</f>
        <v>5</v>
      </c>
    </row>
    <row r="161" spans="2:8" x14ac:dyDescent="0.25">
      <c r="B161" s="71">
        <v>46236</v>
      </c>
      <c r="C161" s="72">
        <v>2</v>
      </c>
      <c r="D161" s="72" t="s">
        <v>97</v>
      </c>
      <c r="E161" s="73" t="s">
        <v>35</v>
      </c>
      <c r="F161" s="73" t="s">
        <v>45</v>
      </c>
      <c r="G161" s="72" t="s">
        <v>84</v>
      </c>
      <c r="H161" s="47">
        <f>IF('Lançamento Diário'!D15="","",'Lançamento Diário'!D15)</f>
        <v>0</v>
      </c>
    </row>
    <row r="162" spans="2:8" x14ac:dyDescent="0.25">
      <c r="B162" s="71">
        <v>46237</v>
      </c>
      <c r="C162" s="72">
        <v>3</v>
      </c>
      <c r="D162" s="72" t="s">
        <v>98</v>
      </c>
      <c r="E162" s="73" t="s">
        <v>35</v>
      </c>
      <c r="F162" s="73" t="s">
        <v>45</v>
      </c>
      <c r="G162" s="72" t="s">
        <v>84</v>
      </c>
      <c r="H162" s="47">
        <f>IF('Lançamento Diário'!E15="","",'Lançamento Diário'!E15)</f>
        <v>4</v>
      </c>
    </row>
    <row r="163" spans="2:8" x14ac:dyDescent="0.25">
      <c r="B163" s="71">
        <v>46238</v>
      </c>
      <c r="C163" s="72">
        <v>4</v>
      </c>
      <c r="D163" s="72" t="s">
        <v>99</v>
      </c>
      <c r="E163" s="73" t="s">
        <v>35</v>
      </c>
      <c r="F163" s="73" t="s">
        <v>45</v>
      </c>
      <c r="G163" s="72" t="s">
        <v>84</v>
      </c>
      <c r="H163" s="47">
        <f>IF('Lançamento Diário'!F15="","",'Lançamento Diário'!F15)</f>
        <v>7</v>
      </c>
    </row>
    <row r="164" spans="2:8" x14ac:dyDescent="0.25">
      <c r="B164" s="71">
        <v>46239</v>
      </c>
      <c r="C164" s="72">
        <v>5</v>
      </c>
      <c r="D164" s="72" t="s">
        <v>100</v>
      </c>
      <c r="E164" s="73" t="s">
        <v>35</v>
      </c>
      <c r="F164" s="73" t="s">
        <v>45</v>
      </c>
      <c r="G164" s="72" t="s">
        <v>84</v>
      </c>
      <c r="H164" s="47">
        <f>IF('Lançamento Diário'!G15="","",'Lançamento Diário'!G15)</f>
        <v>6</v>
      </c>
    </row>
    <row r="165" spans="2:8" x14ac:dyDescent="0.25">
      <c r="B165" s="71">
        <v>46240</v>
      </c>
      <c r="C165" s="72">
        <v>6</v>
      </c>
      <c r="D165" s="72" t="s">
        <v>101</v>
      </c>
      <c r="E165" s="73" t="s">
        <v>35</v>
      </c>
      <c r="F165" s="73" t="s">
        <v>45</v>
      </c>
      <c r="G165" s="72" t="s">
        <v>84</v>
      </c>
      <c r="H165" s="47">
        <f>IF('Lançamento Diário'!H15="","",'Lançamento Diário'!H15)</f>
        <v>4</v>
      </c>
    </row>
    <row r="166" spans="2:8" x14ac:dyDescent="0.25">
      <c r="B166" s="71">
        <v>46241</v>
      </c>
      <c r="C166" s="72">
        <v>7</v>
      </c>
      <c r="D166" s="72" t="s">
        <v>102</v>
      </c>
      <c r="E166" s="73" t="s">
        <v>35</v>
      </c>
      <c r="F166" s="73" t="s">
        <v>45</v>
      </c>
      <c r="G166" s="72" t="s">
        <v>84</v>
      </c>
      <c r="H166" s="47">
        <f>IF('Lançamento Diário'!I15="","",'Lançamento Diário'!I15)</f>
        <v>6</v>
      </c>
    </row>
    <row r="167" spans="2:8" x14ac:dyDescent="0.25">
      <c r="B167" s="71">
        <v>46242</v>
      </c>
      <c r="C167" s="72">
        <v>8</v>
      </c>
      <c r="D167" s="72" t="s">
        <v>96</v>
      </c>
      <c r="E167" s="73" t="s">
        <v>35</v>
      </c>
      <c r="F167" s="73" t="s">
        <v>45</v>
      </c>
      <c r="G167" s="72" t="s">
        <v>84</v>
      </c>
      <c r="H167" s="47">
        <f>IF('Lançamento Diário'!J15="","",'Lançamento Diário'!J15)</f>
        <v>3</v>
      </c>
    </row>
    <row r="168" spans="2:8" x14ac:dyDescent="0.25">
      <c r="B168" s="71">
        <v>46243</v>
      </c>
      <c r="C168" s="72">
        <v>9</v>
      </c>
      <c r="D168" s="72" t="s">
        <v>97</v>
      </c>
      <c r="E168" s="73" t="s">
        <v>35</v>
      </c>
      <c r="F168" s="73" t="s">
        <v>45</v>
      </c>
      <c r="G168" s="72" t="s">
        <v>84</v>
      </c>
      <c r="H168" s="47">
        <f>IF('Lançamento Diário'!K15="","",'Lançamento Diário'!K15)</f>
        <v>0</v>
      </c>
    </row>
    <row r="169" spans="2:8" x14ac:dyDescent="0.25">
      <c r="B169" s="71">
        <v>46244</v>
      </c>
      <c r="C169" s="72">
        <v>10</v>
      </c>
      <c r="D169" s="72" t="s">
        <v>98</v>
      </c>
      <c r="E169" s="73" t="s">
        <v>35</v>
      </c>
      <c r="F169" s="73" t="s">
        <v>45</v>
      </c>
      <c r="G169" s="72" t="s">
        <v>84</v>
      </c>
      <c r="H169" s="47">
        <f>IF('Lançamento Diário'!L15="","",'Lançamento Diário'!L15)</f>
        <v>4</v>
      </c>
    </row>
    <row r="170" spans="2:8" x14ac:dyDescent="0.25">
      <c r="B170" s="71">
        <v>46245</v>
      </c>
      <c r="C170" s="72">
        <v>11</v>
      </c>
      <c r="D170" s="72" t="s">
        <v>99</v>
      </c>
      <c r="E170" s="73" t="s">
        <v>35</v>
      </c>
      <c r="F170" s="73" t="s">
        <v>45</v>
      </c>
      <c r="G170" s="72" t="s">
        <v>84</v>
      </c>
      <c r="H170" s="47">
        <f>IF('Lançamento Diário'!M15="","",'Lançamento Diário'!M15)</f>
        <v>4</v>
      </c>
    </row>
    <row r="171" spans="2:8" x14ac:dyDescent="0.25">
      <c r="B171" s="71">
        <v>46246</v>
      </c>
      <c r="C171" s="72">
        <v>12</v>
      </c>
      <c r="D171" s="72" t="s">
        <v>100</v>
      </c>
      <c r="E171" s="73" t="s">
        <v>35</v>
      </c>
      <c r="F171" s="73" t="s">
        <v>45</v>
      </c>
      <c r="G171" s="72" t="s">
        <v>84</v>
      </c>
      <c r="H171" s="47">
        <f>IF('Lançamento Diário'!N15="","",'Lançamento Diário'!N15)</f>
        <v>4</v>
      </c>
    </row>
    <row r="172" spans="2:8" x14ac:dyDescent="0.25">
      <c r="B172" s="71">
        <v>46247</v>
      </c>
      <c r="C172" s="72">
        <v>13</v>
      </c>
      <c r="D172" s="72" t="s">
        <v>101</v>
      </c>
      <c r="E172" s="73" t="s">
        <v>35</v>
      </c>
      <c r="F172" s="73" t="s">
        <v>45</v>
      </c>
      <c r="G172" s="72" t="s">
        <v>84</v>
      </c>
      <c r="H172" s="47">
        <f>IF('Lançamento Diário'!O15="","",'Lançamento Diário'!O15)</f>
        <v>5</v>
      </c>
    </row>
    <row r="173" spans="2:8" x14ac:dyDescent="0.25">
      <c r="B173" s="71">
        <v>46248</v>
      </c>
      <c r="C173" s="72">
        <v>14</v>
      </c>
      <c r="D173" s="72" t="s">
        <v>102</v>
      </c>
      <c r="E173" s="73" t="s">
        <v>35</v>
      </c>
      <c r="F173" s="73" t="s">
        <v>45</v>
      </c>
      <c r="G173" s="72" t="s">
        <v>84</v>
      </c>
      <c r="H173" s="47">
        <f>IF('Lançamento Diário'!P15="","",'Lançamento Diário'!P15)</f>
        <v>2</v>
      </c>
    </row>
    <row r="174" spans="2:8" x14ac:dyDescent="0.25">
      <c r="B174" s="71">
        <v>46249</v>
      </c>
      <c r="C174" s="72">
        <v>15</v>
      </c>
      <c r="D174" s="72" t="s">
        <v>96</v>
      </c>
      <c r="E174" s="73" t="s">
        <v>35</v>
      </c>
      <c r="F174" s="73" t="s">
        <v>45</v>
      </c>
      <c r="G174" s="72" t="s">
        <v>84</v>
      </c>
      <c r="H174" s="47">
        <f>IF('Lançamento Diário'!Q15="","",'Lançamento Diário'!Q15)</f>
        <v>7</v>
      </c>
    </row>
    <row r="175" spans="2:8" x14ac:dyDescent="0.25">
      <c r="B175" s="71">
        <v>46250</v>
      </c>
      <c r="C175" s="72">
        <v>16</v>
      </c>
      <c r="D175" s="72" t="s">
        <v>97</v>
      </c>
      <c r="E175" s="73" t="s">
        <v>35</v>
      </c>
      <c r="F175" s="73" t="s">
        <v>45</v>
      </c>
      <c r="G175" s="72" t="s">
        <v>84</v>
      </c>
      <c r="H175" s="47">
        <f>IF('Lançamento Diário'!R15="","",'Lançamento Diário'!R15)</f>
        <v>0</v>
      </c>
    </row>
    <row r="176" spans="2:8" x14ac:dyDescent="0.25">
      <c r="B176" s="71">
        <v>46251</v>
      </c>
      <c r="C176" s="72">
        <v>17</v>
      </c>
      <c r="D176" s="72" t="s">
        <v>98</v>
      </c>
      <c r="E176" s="73" t="s">
        <v>35</v>
      </c>
      <c r="F176" s="73" t="s">
        <v>45</v>
      </c>
      <c r="G176" s="72" t="s">
        <v>84</v>
      </c>
      <c r="H176" s="47">
        <f>IF('Lançamento Diário'!S15="","",'Lançamento Diário'!S15)</f>
        <v>1</v>
      </c>
    </row>
    <row r="177" spans="2:8" x14ac:dyDescent="0.25">
      <c r="B177" s="71">
        <v>46252</v>
      </c>
      <c r="C177" s="72">
        <v>18</v>
      </c>
      <c r="D177" s="72" t="s">
        <v>99</v>
      </c>
      <c r="E177" s="73" t="s">
        <v>35</v>
      </c>
      <c r="F177" s="73" t="s">
        <v>45</v>
      </c>
      <c r="G177" s="72" t="s">
        <v>84</v>
      </c>
      <c r="H177" s="47">
        <f>IF('Lançamento Diário'!T15="","",'Lançamento Diário'!T15)</f>
        <v>6</v>
      </c>
    </row>
    <row r="178" spans="2:8" x14ac:dyDescent="0.25">
      <c r="B178" s="71">
        <v>46253</v>
      </c>
      <c r="C178" s="72">
        <v>19</v>
      </c>
      <c r="D178" s="72" t="s">
        <v>100</v>
      </c>
      <c r="E178" s="73" t="s">
        <v>35</v>
      </c>
      <c r="F178" s="73" t="s">
        <v>45</v>
      </c>
      <c r="G178" s="72" t="s">
        <v>84</v>
      </c>
      <c r="H178" s="47">
        <f>IF('Lançamento Diário'!U15="","",'Lançamento Diário'!U15)</f>
        <v>4</v>
      </c>
    </row>
    <row r="179" spans="2:8" x14ac:dyDescent="0.25">
      <c r="B179" s="71">
        <v>46254</v>
      </c>
      <c r="C179" s="72">
        <v>20</v>
      </c>
      <c r="D179" s="72" t="s">
        <v>101</v>
      </c>
      <c r="E179" s="73" t="s">
        <v>35</v>
      </c>
      <c r="F179" s="73" t="s">
        <v>45</v>
      </c>
      <c r="G179" s="72" t="s">
        <v>84</v>
      </c>
      <c r="H179" s="47">
        <f>IF('Lançamento Diário'!V15="","",'Lançamento Diário'!V15)</f>
        <v>3</v>
      </c>
    </row>
    <row r="180" spans="2:8" x14ac:dyDescent="0.25">
      <c r="B180" s="71">
        <v>46255</v>
      </c>
      <c r="C180" s="72">
        <v>21</v>
      </c>
      <c r="D180" s="72" t="s">
        <v>102</v>
      </c>
      <c r="E180" s="73" t="s">
        <v>35</v>
      </c>
      <c r="F180" s="73" t="s">
        <v>45</v>
      </c>
      <c r="G180" s="72" t="s">
        <v>84</v>
      </c>
      <c r="H180" s="47">
        <f>IF('Lançamento Diário'!W15="","",'Lançamento Diário'!W15)</f>
        <v>3</v>
      </c>
    </row>
    <row r="181" spans="2:8" x14ac:dyDescent="0.25">
      <c r="B181" s="71">
        <v>46256</v>
      </c>
      <c r="C181" s="72">
        <v>22</v>
      </c>
      <c r="D181" s="72" t="s">
        <v>96</v>
      </c>
      <c r="E181" s="73" t="s">
        <v>35</v>
      </c>
      <c r="F181" s="73" t="s">
        <v>45</v>
      </c>
      <c r="G181" s="72" t="s">
        <v>84</v>
      </c>
      <c r="H181" s="47">
        <f>IF('Lançamento Diário'!X15="","",'Lançamento Diário'!X15)</f>
        <v>6</v>
      </c>
    </row>
    <row r="182" spans="2:8" x14ac:dyDescent="0.25">
      <c r="B182" s="71">
        <v>46257</v>
      </c>
      <c r="C182" s="72">
        <v>23</v>
      </c>
      <c r="D182" s="72" t="s">
        <v>97</v>
      </c>
      <c r="E182" s="73" t="s">
        <v>35</v>
      </c>
      <c r="F182" s="73" t="s">
        <v>45</v>
      </c>
      <c r="G182" s="72" t="s">
        <v>84</v>
      </c>
      <c r="H182" s="47">
        <f>IF('Lançamento Diário'!Y15="","",'Lançamento Diário'!Y15)</f>
        <v>0</v>
      </c>
    </row>
    <row r="183" spans="2:8" x14ac:dyDescent="0.25">
      <c r="B183" s="71">
        <v>46258</v>
      </c>
      <c r="C183" s="72">
        <v>24</v>
      </c>
      <c r="D183" s="72" t="s">
        <v>98</v>
      </c>
      <c r="E183" s="73" t="s">
        <v>35</v>
      </c>
      <c r="F183" s="73" t="s">
        <v>45</v>
      </c>
      <c r="G183" s="72" t="s">
        <v>84</v>
      </c>
      <c r="H183" s="47">
        <f>IF('Lançamento Diário'!Z15="","",'Lançamento Diário'!Z15)</f>
        <v>3</v>
      </c>
    </row>
    <row r="184" spans="2:8" x14ac:dyDescent="0.25">
      <c r="B184" s="71">
        <v>46259</v>
      </c>
      <c r="C184" s="72">
        <v>25</v>
      </c>
      <c r="D184" s="72" t="s">
        <v>99</v>
      </c>
      <c r="E184" s="73" t="s">
        <v>35</v>
      </c>
      <c r="F184" s="73" t="s">
        <v>45</v>
      </c>
      <c r="G184" s="72" t="s">
        <v>84</v>
      </c>
      <c r="H184" s="47">
        <f>IF('Lançamento Diário'!AA15="","",'Lançamento Diário'!AA15)</f>
        <v>7</v>
      </c>
    </row>
    <row r="185" spans="2:8" x14ac:dyDescent="0.25">
      <c r="B185" s="71">
        <v>46260</v>
      </c>
      <c r="C185" s="72">
        <v>26</v>
      </c>
      <c r="D185" s="72" t="s">
        <v>100</v>
      </c>
      <c r="E185" s="73" t="s">
        <v>35</v>
      </c>
      <c r="F185" s="73" t="s">
        <v>45</v>
      </c>
      <c r="G185" s="72" t="s">
        <v>84</v>
      </c>
      <c r="H185" s="47">
        <f>IF('Lançamento Diário'!AB15="","",'Lançamento Diário'!AB15)</f>
        <v>3</v>
      </c>
    </row>
    <row r="186" spans="2:8" x14ac:dyDescent="0.25">
      <c r="B186" s="71">
        <v>46261</v>
      </c>
      <c r="C186" s="72">
        <v>27</v>
      </c>
      <c r="D186" s="72" t="s">
        <v>101</v>
      </c>
      <c r="E186" s="73" t="s">
        <v>35</v>
      </c>
      <c r="F186" s="73" t="s">
        <v>45</v>
      </c>
      <c r="G186" s="72" t="s">
        <v>84</v>
      </c>
      <c r="H186" s="47">
        <f>IF('Lançamento Diário'!AC15="","",'Lançamento Diário'!AC15)</f>
        <v>7</v>
      </c>
    </row>
    <row r="187" spans="2:8" x14ac:dyDescent="0.25">
      <c r="B187" s="71">
        <v>46262</v>
      </c>
      <c r="C187" s="72">
        <v>28</v>
      </c>
      <c r="D187" s="72" t="s">
        <v>102</v>
      </c>
      <c r="E187" s="73" t="s">
        <v>35</v>
      </c>
      <c r="F187" s="73" t="s">
        <v>45</v>
      </c>
      <c r="G187" s="72" t="s">
        <v>84</v>
      </c>
      <c r="H187" s="47">
        <f>IF('Lançamento Diário'!AD15="","",'Lançamento Diário'!AD15)</f>
        <v>5</v>
      </c>
    </row>
    <row r="188" spans="2:8" x14ac:dyDescent="0.25">
      <c r="B188" s="71">
        <v>46263</v>
      </c>
      <c r="C188" s="72">
        <v>29</v>
      </c>
      <c r="D188" s="72" t="s">
        <v>96</v>
      </c>
      <c r="E188" s="73" t="s">
        <v>35</v>
      </c>
      <c r="F188" s="73" t="s">
        <v>45</v>
      </c>
      <c r="G188" s="72" t="s">
        <v>84</v>
      </c>
      <c r="H188" s="47">
        <f>IF('Lançamento Diário'!AE15="","",'Lançamento Diário'!AE15)</f>
        <v>7</v>
      </c>
    </row>
    <row r="189" spans="2:8" x14ac:dyDescent="0.25">
      <c r="B189" s="71">
        <v>46264</v>
      </c>
      <c r="C189" s="72">
        <v>30</v>
      </c>
      <c r="D189" s="72" t="s">
        <v>97</v>
      </c>
      <c r="E189" s="73" t="s">
        <v>35</v>
      </c>
      <c r="F189" s="73" t="s">
        <v>45</v>
      </c>
      <c r="G189" s="72" t="s">
        <v>84</v>
      </c>
      <c r="H189" s="47">
        <f>IF('Lançamento Diário'!AF15="","",'Lançamento Diário'!AF15)</f>
        <v>0</v>
      </c>
    </row>
    <row r="190" spans="2:8" x14ac:dyDescent="0.25">
      <c r="B190" s="71">
        <v>46265</v>
      </c>
      <c r="C190" s="72">
        <v>31</v>
      </c>
      <c r="D190" s="72" t="s">
        <v>98</v>
      </c>
      <c r="E190" s="73" t="s">
        <v>35</v>
      </c>
      <c r="F190" s="73" t="s">
        <v>45</v>
      </c>
      <c r="G190" s="72" t="s">
        <v>84</v>
      </c>
      <c r="H190" s="47">
        <f>IF('Lançamento Diário'!AG15="","",'Lançamento Diário'!AG15)</f>
        <v>3</v>
      </c>
    </row>
    <row r="191" spans="2:8" x14ac:dyDescent="0.25">
      <c r="B191" s="71">
        <v>46235</v>
      </c>
      <c r="C191" s="72">
        <v>1</v>
      </c>
      <c r="D191" s="72" t="s">
        <v>96</v>
      </c>
      <c r="E191" s="73" t="s">
        <v>35</v>
      </c>
      <c r="F191" s="73" t="s">
        <v>46</v>
      </c>
      <c r="G191" s="72" t="s">
        <v>84</v>
      </c>
      <c r="H191" s="47">
        <f>IF('Lançamento Diário'!C16="","",'Lançamento Diário'!C16)</f>
        <v>1</v>
      </c>
    </row>
    <row r="192" spans="2:8" x14ac:dyDescent="0.25">
      <c r="B192" s="71">
        <v>46236</v>
      </c>
      <c r="C192" s="72">
        <v>2</v>
      </c>
      <c r="D192" s="72" t="s">
        <v>97</v>
      </c>
      <c r="E192" s="73" t="s">
        <v>35</v>
      </c>
      <c r="F192" s="73" t="s">
        <v>46</v>
      </c>
      <c r="G192" s="72" t="s">
        <v>84</v>
      </c>
      <c r="H192" s="47">
        <f>IF('Lançamento Diário'!D16="","",'Lançamento Diário'!D16)</f>
        <v>0</v>
      </c>
    </row>
    <row r="193" spans="2:8" x14ac:dyDescent="0.25">
      <c r="B193" s="71">
        <v>46237</v>
      </c>
      <c r="C193" s="72">
        <v>3</v>
      </c>
      <c r="D193" s="72" t="s">
        <v>98</v>
      </c>
      <c r="E193" s="73" t="s">
        <v>35</v>
      </c>
      <c r="F193" s="73" t="s">
        <v>46</v>
      </c>
      <c r="G193" s="72" t="s">
        <v>84</v>
      </c>
      <c r="H193" s="47">
        <f>IF('Lançamento Diário'!E16="","",'Lançamento Diário'!E16)</f>
        <v>1</v>
      </c>
    </row>
    <row r="194" spans="2:8" x14ac:dyDescent="0.25">
      <c r="B194" s="71">
        <v>46238</v>
      </c>
      <c r="C194" s="72">
        <v>4</v>
      </c>
      <c r="D194" s="72" t="s">
        <v>99</v>
      </c>
      <c r="E194" s="73" t="s">
        <v>35</v>
      </c>
      <c r="F194" s="73" t="s">
        <v>46</v>
      </c>
      <c r="G194" s="72" t="s">
        <v>84</v>
      </c>
      <c r="H194" s="47">
        <f>IF('Lançamento Diário'!F16="","",'Lançamento Diário'!F16)</f>
        <v>1</v>
      </c>
    </row>
    <row r="195" spans="2:8" x14ac:dyDescent="0.25">
      <c r="B195" s="71">
        <v>46239</v>
      </c>
      <c r="C195" s="72">
        <v>5</v>
      </c>
      <c r="D195" s="72" t="s">
        <v>100</v>
      </c>
      <c r="E195" s="73" t="s">
        <v>35</v>
      </c>
      <c r="F195" s="73" t="s">
        <v>46</v>
      </c>
      <c r="G195" s="72" t="s">
        <v>84</v>
      </c>
      <c r="H195" s="47">
        <f>IF('Lançamento Diário'!G16="","",'Lançamento Diário'!G16)</f>
        <v>2</v>
      </c>
    </row>
    <row r="196" spans="2:8" x14ac:dyDescent="0.25">
      <c r="B196" s="71">
        <v>46240</v>
      </c>
      <c r="C196" s="72">
        <v>6</v>
      </c>
      <c r="D196" s="72" t="s">
        <v>101</v>
      </c>
      <c r="E196" s="73" t="s">
        <v>35</v>
      </c>
      <c r="F196" s="73" t="s">
        <v>46</v>
      </c>
      <c r="G196" s="72" t="s">
        <v>84</v>
      </c>
      <c r="H196" s="47">
        <f>IF('Lançamento Diário'!H16="","",'Lançamento Diário'!H16)</f>
        <v>2</v>
      </c>
    </row>
    <row r="197" spans="2:8" x14ac:dyDescent="0.25">
      <c r="B197" s="71">
        <v>46241</v>
      </c>
      <c r="C197" s="72">
        <v>7</v>
      </c>
      <c r="D197" s="72" t="s">
        <v>102</v>
      </c>
      <c r="E197" s="73" t="s">
        <v>35</v>
      </c>
      <c r="F197" s="73" t="s">
        <v>46</v>
      </c>
      <c r="G197" s="72" t="s">
        <v>84</v>
      </c>
      <c r="H197" s="47">
        <f>IF('Lançamento Diário'!I16="","",'Lançamento Diário'!I16)</f>
        <v>1</v>
      </c>
    </row>
    <row r="198" spans="2:8" x14ac:dyDescent="0.25">
      <c r="B198" s="71">
        <v>46242</v>
      </c>
      <c r="C198" s="72">
        <v>8</v>
      </c>
      <c r="D198" s="72" t="s">
        <v>96</v>
      </c>
      <c r="E198" s="73" t="s">
        <v>35</v>
      </c>
      <c r="F198" s="73" t="s">
        <v>46</v>
      </c>
      <c r="G198" s="72" t="s">
        <v>84</v>
      </c>
      <c r="H198" s="47">
        <f>IF('Lançamento Diário'!J16="","",'Lançamento Diário'!J16)</f>
        <v>2</v>
      </c>
    </row>
    <row r="199" spans="2:8" x14ac:dyDescent="0.25">
      <c r="B199" s="71">
        <v>46243</v>
      </c>
      <c r="C199" s="72">
        <v>9</v>
      </c>
      <c r="D199" s="72" t="s">
        <v>97</v>
      </c>
      <c r="E199" s="73" t="s">
        <v>35</v>
      </c>
      <c r="F199" s="73" t="s">
        <v>46</v>
      </c>
      <c r="G199" s="72" t="s">
        <v>84</v>
      </c>
      <c r="H199" s="47">
        <f>IF('Lançamento Diário'!K16="","",'Lançamento Diário'!K16)</f>
        <v>0</v>
      </c>
    </row>
    <row r="200" spans="2:8" x14ac:dyDescent="0.25">
      <c r="B200" s="71">
        <v>46244</v>
      </c>
      <c r="C200" s="72">
        <v>10</v>
      </c>
      <c r="D200" s="72" t="s">
        <v>98</v>
      </c>
      <c r="E200" s="73" t="s">
        <v>35</v>
      </c>
      <c r="F200" s="73" t="s">
        <v>46</v>
      </c>
      <c r="G200" s="72" t="s">
        <v>84</v>
      </c>
      <c r="H200" s="47">
        <f>IF('Lançamento Diário'!L16="","",'Lançamento Diário'!L16)</f>
        <v>0</v>
      </c>
    </row>
    <row r="201" spans="2:8" x14ac:dyDescent="0.25">
      <c r="B201" s="71">
        <v>46245</v>
      </c>
      <c r="C201" s="72">
        <v>11</v>
      </c>
      <c r="D201" s="72" t="s">
        <v>99</v>
      </c>
      <c r="E201" s="73" t="s">
        <v>35</v>
      </c>
      <c r="F201" s="73" t="s">
        <v>46</v>
      </c>
      <c r="G201" s="72" t="s">
        <v>84</v>
      </c>
      <c r="H201" s="47">
        <f>IF('Lançamento Diário'!M16="","",'Lançamento Diário'!M16)</f>
        <v>1</v>
      </c>
    </row>
    <row r="202" spans="2:8" x14ac:dyDescent="0.25">
      <c r="B202" s="71">
        <v>46246</v>
      </c>
      <c r="C202" s="72">
        <v>12</v>
      </c>
      <c r="D202" s="72" t="s">
        <v>100</v>
      </c>
      <c r="E202" s="73" t="s">
        <v>35</v>
      </c>
      <c r="F202" s="73" t="s">
        <v>46</v>
      </c>
      <c r="G202" s="72" t="s">
        <v>84</v>
      </c>
      <c r="H202" s="47">
        <f>IF('Lançamento Diário'!N16="","",'Lançamento Diário'!N16)</f>
        <v>1</v>
      </c>
    </row>
    <row r="203" spans="2:8" x14ac:dyDescent="0.25">
      <c r="B203" s="71">
        <v>46247</v>
      </c>
      <c r="C203" s="72">
        <v>13</v>
      </c>
      <c r="D203" s="72" t="s">
        <v>101</v>
      </c>
      <c r="E203" s="73" t="s">
        <v>35</v>
      </c>
      <c r="F203" s="73" t="s">
        <v>46</v>
      </c>
      <c r="G203" s="72" t="s">
        <v>84</v>
      </c>
      <c r="H203" s="47">
        <f>IF('Lançamento Diário'!O16="","",'Lançamento Diário'!O16)</f>
        <v>1</v>
      </c>
    </row>
    <row r="204" spans="2:8" x14ac:dyDescent="0.25">
      <c r="B204" s="71">
        <v>46248</v>
      </c>
      <c r="C204" s="72">
        <v>14</v>
      </c>
      <c r="D204" s="72" t="s">
        <v>102</v>
      </c>
      <c r="E204" s="73" t="s">
        <v>35</v>
      </c>
      <c r="F204" s="73" t="s">
        <v>46</v>
      </c>
      <c r="G204" s="72" t="s">
        <v>84</v>
      </c>
      <c r="H204" s="47">
        <f>IF('Lançamento Diário'!P16="","",'Lançamento Diário'!P16)</f>
        <v>2</v>
      </c>
    </row>
    <row r="205" spans="2:8" x14ac:dyDescent="0.25">
      <c r="B205" s="71">
        <v>46249</v>
      </c>
      <c r="C205" s="72">
        <v>15</v>
      </c>
      <c r="D205" s="72" t="s">
        <v>96</v>
      </c>
      <c r="E205" s="73" t="s">
        <v>35</v>
      </c>
      <c r="F205" s="73" t="s">
        <v>46</v>
      </c>
      <c r="G205" s="72" t="s">
        <v>84</v>
      </c>
      <c r="H205" s="47">
        <f>IF('Lançamento Diário'!Q16="","",'Lançamento Diário'!Q16)</f>
        <v>1</v>
      </c>
    </row>
    <row r="206" spans="2:8" x14ac:dyDescent="0.25">
      <c r="B206" s="71">
        <v>46250</v>
      </c>
      <c r="C206" s="72">
        <v>16</v>
      </c>
      <c r="D206" s="72" t="s">
        <v>97</v>
      </c>
      <c r="E206" s="73" t="s">
        <v>35</v>
      </c>
      <c r="F206" s="73" t="s">
        <v>46</v>
      </c>
      <c r="G206" s="72" t="s">
        <v>84</v>
      </c>
      <c r="H206" s="47">
        <f>IF('Lançamento Diário'!R16="","",'Lançamento Diário'!R16)</f>
        <v>0</v>
      </c>
    </row>
    <row r="207" spans="2:8" x14ac:dyDescent="0.25">
      <c r="B207" s="71">
        <v>46251</v>
      </c>
      <c r="C207" s="72">
        <v>17</v>
      </c>
      <c r="D207" s="72" t="s">
        <v>98</v>
      </c>
      <c r="E207" s="73" t="s">
        <v>35</v>
      </c>
      <c r="F207" s="73" t="s">
        <v>46</v>
      </c>
      <c r="G207" s="72" t="s">
        <v>84</v>
      </c>
      <c r="H207" s="47">
        <f>IF('Lançamento Diário'!S16="","",'Lançamento Diário'!S16)</f>
        <v>1</v>
      </c>
    </row>
    <row r="208" spans="2:8" x14ac:dyDescent="0.25">
      <c r="B208" s="71">
        <v>46252</v>
      </c>
      <c r="C208" s="72">
        <v>18</v>
      </c>
      <c r="D208" s="72" t="s">
        <v>99</v>
      </c>
      <c r="E208" s="73" t="s">
        <v>35</v>
      </c>
      <c r="F208" s="73" t="s">
        <v>46</v>
      </c>
      <c r="G208" s="72" t="s">
        <v>84</v>
      </c>
      <c r="H208" s="47">
        <f>IF('Lançamento Diário'!T16="","",'Lançamento Diário'!T16)</f>
        <v>1</v>
      </c>
    </row>
    <row r="209" spans="2:8" x14ac:dyDescent="0.25">
      <c r="B209" s="71">
        <v>46253</v>
      </c>
      <c r="C209" s="72">
        <v>19</v>
      </c>
      <c r="D209" s="72" t="s">
        <v>100</v>
      </c>
      <c r="E209" s="73" t="s">
        <v>35</v>
      </c>
      <c r="F209" s="73" t="s">
        <v>46</v>
      </c>
      <c r="G209" s="72" t="s">
        <v>84</v>
      </c>
      <c r="H209" s="47">
        <f>IF('Lançamento Diário'!U16="","",'Lançamento Diário'!U16)</f>
        <v>1</v>
      </c>
    </row>
    <row r="210" spans="2:8" x14ac:dyDescent="0.25">
      <c r="B210" s="71">
        <v>46254</v>
      </c>
      <c r="C210" s="72">
        <v>20</v>
      </c>
      <c r="D210" s="72" t="s">
        <v>101</v>
      </c>
      <c r="E210" s="73" t="s">
        <v>35</v>
      </c>
      <c r="F210" s="73" t="s">
        <v>46</v>
      </c>
      <c r="G210" s="72" t="s">
        <v>84</v>
      </c>
      <c r="H210" s="47">
        <f>IF('Lançamento Diário'!V16="","",'Lançamento Diário'!V16)</f>
        <v>0</v>
      </c>
    </row>
    <row r="211" spans="2:8" x14ac:dyDescent="0.25">
      <c r="B211" s="71">
        <v>46255</v>
      </c>
      <c r="C211" s="72">
        <v>21</v>
      </c>
      <c r="D211" s="72" t="s">
        <v>102</v>
      </c>
      <c r="E211" s="73" t="s">
        <v>35</v>
      </c>
      <c r="F211" s="73" t="s">
        <v>46</v>
      </c>
      <c r="G211" s="72" t="s">
        <v>84</v>
      </c>
      <c r="H211" s="47">
        <f>IF('Lançamento Diário'!W16="","",'Lançamento Diário'!W16)</f>
        <v>1</v>
      </c>
    </row>
    <row r="212" spans="2:8" x14ac:dyDescent="0.25">
      <c r="B212" s="71">
        <v>46256</v>
      </c>
      <c r="C212" s="72">
        <v>22</v>
      </c>
      <c r="D212" s="72" t="s">
        <v>96</v>
      </c>
      <c r="E212" s="73" t="s">
        <v>35</v>
      </c>
      <c r="F212" s="73" t="s">
        <v>46</v>
      </c>
      <c r="G212" s="72" t="s">
        <v>84</v>
      </c>
      <c r="H212" s="47">
        <f>IF('Lançamento Diário'!X16="","",'Lançamento Diário'!X16)</f>
        <v>0</v>
      </c>
    </row>
    <row r="213" spans="2:8" x14ac:dyDescent="0.25">
      <c r="B213" s="71">
        <v>46257</v>
      </c>
      <c r="C213" s="72">
        <v>23</v>
      </c>
      <c r="D213" s="72" t="s">
        <v>97</v>
      </c>
      <c r="E213" s="73" t="s">
        <v>35</v>
      </c>
      <c r="F213" s="73" t="s">
        <v>46</v>
      </c>
      <c r="G213" s="72" t="s">
        <v>84</v>
      </c>
      <c r="H213" s="47">
        <f>IF('Lançamento Diário'!Y16="","",'Lançamento Diário'!Y16)</f>
        <v>0</v>
      </c>
    </row>
    <row r="214" spans="2:8" x14ac:dyDescent="0.25">
      <c r="B214" s="71">
        <v>46258</v>
      </c>
      <c r="C214" s="72">
        <v>24</v>
      </c>
      <c r="D214" s="72" t="s">
        <v>98</v>
      </c>
      <c r="E214" s="73" t="s">
        <v>35</v>
      </c>
      <c r="F214" s="73" t="s">
        <v>46</v>
      </c>
      <c r="G214" s="72" t="s">
        <v>84</v>
      </c>
      <c r="H214" s="47">
        <f>IF('Lançamento Diário'!Z16="","",'Lançamento Diário'!Z16)</f>
        <v>1</v>
      </c>
    </row>
    <row r="215" spans="2:8" x14ac:dyDescent="0.25">
      <c r="B215" s="71">
        <v>46259</v>
      </c>
      <c r="C215" s="72">
        <v>25</v>
      </c>
      <c r="D215" s="72" t="s">
        <v>99</v>
      </c>
      <c r="E215" s="73" t="s">
        <v>35</v>
      </c>
      <c r="F215" s="73" t="s">
        <v>46</v>
      </c>
      <c r="G215" s="72" t="s">
        <v>84</v>
      </c>
      <c r="H215" s="47">
        <f>IF('Lançamento Diário'!AA16="","",'Lançamento Diário'!AA16)</f>
        <v>1</v>
      </c>
    </row>
    <row r="216" spans="2:8" x14ac:dyDescent="0.25">
      <c r="B216" s="71">
        <v>46260</v>
      </c>
      <c r="C216" s="72">
        <v>26</v>
      </c>
      <c r="D216" s="72" t="s">
        <v>100</v>
      </c>
      <c r="E216" s="73" t="s">
        <v>35</v>
      </c>
      <c r="F216" s="73" t="s">
        <v>46</v>
      </c>
      <c r="G216" s="72" t="s">
        <v>84</v>
      </c>
      <c r="H216" s="47">
        <f>IF('Lançamento Diário'!AB16="","",'Lançamento Diário'!AB16)</f>
        <v>1</v>
      </c>
    </row>
    <row r="217" spans="2:8" x14ac:dyDescent="0.25">
      <c r="B217" s="71">
        <v>46261</v>
      </c>
      <c r="C217" s="72">
        <v>27</v>
      </c>
      <c r="D217" s="72" t="s">
        <v>101</v>
      </c>
      <c r="E217" s="73" t="s">
        <v>35</v>
      </c>
      <c r="F217" s="73" t="s">
        <v>46</v>
      </c>
      <c r="G217" s="72" t="s">
        <v>84</v>
      </c>
      <c r="H217" s="47">
        <f>IF('Lançamento Diário'!AC16="","",'Lançamento Diário'!AC16)</f>
        <v>3</v>
      </c>
    </row>
    <row r="218" spans="2:8" x14ac:dyDescent="0.25">
      <c r="B218" s="71">
        <v>46262</v>
      </c>
      <c r="C218" s="72">
        <v>28</v>
      </c>
      <c r="D218" s="72" t="s">
        <v>102</v>
      </c>
      <c r="E218" s="73" t="s">
        <v>35</v>
      </c>
      <c r="F218" s="73" t="s">
        <v>46</v>
      </c>
      <c r="G218" s="72" t="s">
        <v>84</v>
      </c>
      <c r="H218" s="47">
        <f>IF('Lançamento Diário'!AD16="","",'Lançamento Diário'!AD16)</f>
        <v>0</v>
      </c>
    </row>
    <row r="219" spans="2:8" x14ac:dyDescent="0.25">
      <c r="B219" s="71">
        <v>46263</v>
      </c>
      <c r="C219" s="72">
        <v>29</v>
      </c>
      <c r="D219" s="72" t="s">
        <v>96</v>
      </c>
      <c r="E219" s="73" t="s">
        <v>35</v>
      </c>
      <c r="F219" s="73" t="s">
        <v>46</v>
      </c>
      <c r="G219" s="72" t="s">
        <v>84</v>
      </c>
      <c r="H219" s="47">
        <f>IF('Lançamento Diário'!AE16="","",'Lançamento Diário'!AE16)</f>
        <v>2</v>
      </c>
    </row>
    <row r="220" spans="2:8" x14ac:dyDescent="0.25">
      <c r="B220" s="71">
        <v>46264</v>
      </c>
      <c r="C220" s="72">
        <v>30</v>
      </c>
      <c r="D220" s="72" t="s">
        <v>97</v>
      </c>
      <c r="E220" s="73" t="s">
        <v>35</v>
      </c>
      <c r="F220" s="73" t="s">
        <v>46</v>
      </c>
      <c r="G220" s="72" t="s">
        <v>84</v>
      </c>
      <c r="H220" s="47">
        <f>IF('Lançamento Diário'!AF16="","",'Lançamento Diário'!AF16)</f>
        <v>0</v>
      </c>
    </row>
    <row r="221" spans="2:8" x14ac:dyDescent="0.25">
      <c r="B221" s="71">
        <v>46265</v>
      </c>
      <c r="C221" s="72">
        <v>31</v>
      </c>
      <c r="D221" s="72" t="s">
        <v>98</v>
      </c>
      <c r="E221" s="73" t="s">
        <v>35</v>
      </c>
      <c r="F221" s="73" t="s">
        <v>46</v>
      </c>
      <c r="G221" s="72" t="s">
        <v>84</v>
      </c>
      <c r="H221" s="47">
        <f>IF('Lançamento Diário'!AG16="","",'Lançamento Diário'!AG16)</f>
        <v>1</v>
      </c>
    </row>
    <row r="222" spans="2:8" x14ac:dyDescent="0.25">
      <c r="B222" s="71">
        <v>46235</v>
      </c>
      <c r="C222" s="72">
        <v>1</v>
      </c>
      <c r="D222" s="72" t="s">
        <v>96</v>
      </c>
      <c r="E222" s="73" t="s">
        <v>35</v>
      </c>
      <c r="F222" s="73" t="s">
        <v>47</v>
      </c>
      <c r="G222" s="72" t="s">
        <v>85</v>
      </c>
      <c r="H222" s="47">
        <f>IF('Lançamento Diário'!C17="","",'Lançamento Diário'!C17)</f>
        <v>0</v>
      </c>
    </row>
    <row r="223" spans="2:8" x14ac:dyDescent="0.25">
      <c r="B223" s="71">
        <v>46236</v>
      </c>
      <c r="C223" s="72">
        <v>2</v>
      </c>
      <c r="D223" s="72" t="s">
        <v>97</v>
      </c>
      <c r="E223" s="73" t="s">
        <v>35</v>
      </c>
      <c r="F223" s="73" t="s">
        <v>47</v>
      </c>
      <c r="G223" s="72" t="s">
        <v>85</v>
      </c>
      <c r="H223" s="47">
        <f>IF('Lançamento Diário'!D17="","",'Lançamento Diário'!D17)</f>
        <v>0</v>
      </c>
    </row>
    <row r="224" spans="2:8" x14ac:dyDescent="0.25">
      <c r="B224" s="71">
        <v>46237</v>
      </c>
      <c r="C224" s="72">
        <v>3</v>
      </c>
      <c r="D224" s="72" t="s">
        <v>98</v>
      </c>
      <c r="E224" s="73" t="s">
        <v>35</v>
      </c>
      <c r="F224" s="73" t="s">
        <v>47</v>
      </c>
      <c r="G224" s="72" t="s">
        <v>85</v>
      </c>
      <c r="H224" s="47">
        <f>IF('Lançamento Diário'!E17="","",'Lançamento Diário'!E17)</f>
        <v>5</v>
      </c>
    </row>
    <row r="225" spans="2:8" x14ac:dyDescent="0.25">
      <c r="B225" s="71">
        <v>46238</v>
      </c>
      <c r="C225" s="72">
        <v>4</v>
      </c>
      <c r="D225" s="72" t="s">
        <v>99</v>
      </c>
      <c r="E225" s="73" t="s">
        <v>35</v>
      </c>
      <c r="F225" s="73" t="s">
        <v>47</v>
      </c>
      <c r="G225" s="72" t="s">
        <v>85</v>
      </c>
      <c r="H225" s="47">
        <f>IF('Lançamento Diário'!F17="","",'Lançamento Diário'!F17)</f>
        <v>4</v>
      </c>
    </row>
    <row r="226" spans="2:8" x14ac:dyDescent="0.25">
      <c r="B226" s="71">
        <v>46239</v>
      </c>
      <c r="C226" s="72">
        <v>5</v>
      </c>
      <c r="D226" s="72" t="s">
        <v>100</v>
      </c>
      <c r="E226" s="73" t="s">
        <v>35</v>
      </c>
      <c r="F226" s="73" t="s">
        <v>47</v>
      </c>
      <c r="G226" s="72" t="s">
        <v>85</v>
      </c>
      <c r="H226" s="47">
        <f>IF('Lançamento Diário'!G17="","",'Lançamento Diário'!G17)</f>
        <v>5</v>
      </c>
    </row>
    <row r="227" spans="2:8" x14ac:dyDescent="0.25">
      <c r="B227" s="71">
        <v>46240</v>
      </c>
      <c r="C227" s="72">
        <v>6</v>
      </c>
      <c r="D227" s="72" t="s">
        <v>101</v>
      </c>
      <c r="E227" s="73" t="s">
        <v>35</v>
      </c>
      <c r="F227" s="73" t="s">
        <v>47</v>
      </c>
      <c r="G227" s="72" t="s">
        <v>85</v>
      </c>
      <c r="H227" s="47">
        <f>IF('Lançamento Diário'!H17="","",'Lançamento Diário'!H17)</f>
        <v>3</v>
      </c>
    </row>
    <row r="228" spans="2:8" x14ac:dyDescent="0.25">
      <c r="B228" s="71">
        <v>46241</v>
      </c>
      <c r="C228" s="72">
        <v>7</v>
      </c>
      <c r="D228" s="72" t="s">
        <v>102</v>
      </c>
      <c r="E228" s="73" t="s">
        <v>35</v>
      </c>
      <c r="F228" s="73" t="s">
        <v>47</v>
      </c>
      <c r="G228" s="72" t="s">
        <v>85</v>
      </c>
      <c r="H228" s="47">
        <f>IF('Lançamento Diário'!I17="","",'Lançamento Diário'!I17)</f>
        <v>4</v>
      </c>
    </row>
    <row r="229" spans="2:8" x14ac:dyDescent="0.25">
      <c r="B229" s="71">
        <v>46242</v>
      </c>
      <c r="C229" s="72">
        <v>8</v>
      </c>
      <c r="D229" s="72" t="s">
        <v>96</v>
      </c>
      <c r="E229" s="73" t="s">
        <v>35</v>
      </c>
      <c r="F229" s="73" t="s">
        <v>47</v>
      </c>
      <c r="G229" s="72" t="s">
        <v>85</v>
      </c>
      <c r="H229" s="47">
        <f>IF('Lançamento Diário'!J17="","",'Lançamento Diário'!J17)</f>
        <v>1</v>
      </c>
    </row>
    <row r="230" spans="2:8" x14ac:dyDescent="0.25">
      <c r="B230" s="71">
        <v>46243</v>
      </c>
      <c r="C230" s="72">
        <v>9</v>
      </c>
      <c r="D230" s="72" t="s">
        <v>97</v>
      </c>
      <c r="E230" s="73" t="s">
        <v>35</v>
      </c>
      <c r="F230" s="73" t="s">
        <v>47</v>
      </c>
      <c r="G230" s="72" t="s">
        <v>85</v>
      </c>
      <c r="H230" s="47">
        <f>IF('Lançamento Diário'!K17="","",'Lançamento Diário'!K17)</f>
        <v>0</v>
      </c>
    </row>
    <row r="231" spans="2:8" x14ac:dyDescent="0.25">
      <c r="B231" s="71">
        <v>46244</v>
      </c>
      <c r="C231" s="72">
        <v>10</v>
      </c>
      <c r="D231" s="72" t="s">
        <v>98</v>
      </c>
      <c r="E231" s="73" t="s">
        <v>35</v>
      </c>
      <c r="F231" s="73" t="s">
        <v>47</v>
      </c>
      <c r="G231" s="72" t="s">
        <v>85</v>
      </c>
      <c r="H231" s="47">
        <f>IF('Lançamento Diário'!L17="","",'Lançamento Diário'!L17)</f>
        <v>2</v>
      </c>
    </row>
    <row r="232" spans="2:8" x14ac:dyDescent="0.25">
      <c r="B232" s="71">
        <v>46245</v>
      </c>
      <c r="C232" s="72">
        <v>11</v>
      </c>
      <c r="D232" s="72" t="s">
        <v>99</v>
      </c>
      <c r="E232" s="73" t="s">
        <v>35</v>
      </c>
      <c r="F232" s="73" t="s">
        <v>47</v>
      </c>
      <c r="G232" s="72" t="s">
        <v>85</v>
      </c>
      <c r="H232" s="47">
        <f>IF('Lançamento Diário'!M17="","",'Lançamento Diário'!M17)</f>
        <v>5</v>
      </c>
    </row>
    <row r="233" spans="2:8" x14ac:dyDescent="0.25">
      <c r="B233" s="71">
        <v>46246</v>
      </c>
      <c r="C233" s="72">
        <v>12</v>
      </c>
      <c r="D233" s="72" t="s">
        <v>100</v>
      </c>
      <c r="E233" s="73" t="s">
        <v>35</v>
      </c>
      <c r="F233" s="73" t="s">
        <v>47</v>
      </c>
      <c r="G233" s="72" t="s">
        <v>85</v>
      </c>
      <c r="H233" s="47">
        <f>IF('Lançamento Diário'!N17="","",'Lançamento Diário'!N17)</f>
        <v>5</v>
      </c>
    </row>
    <row r="234" spans="2:8" x14ac:dyDescent="0.25">
      <c r="B234" s="71">
        <v>46247</v>
      </c>
      <c r="C234" s="72">
        <v>13</v>
      </c>
      <c r="D234" s="72" t="s">
        <v>101</v>
      </c>
      <c r="E234" s="73" t="s">
        <v>35</v>
      </c>
      <c r="F234" s="73" t="s">
        <v>47</v>
      </c>
      <c r="G234" s="72" t="s">
        <v>85</v>
      </c>
      <c r="H234" s="47">
        <f>IF('Lançamento Diário'!O17="","",'Lançamento Diário'!O17)</f>
        <v>1</v>
      </c>
    </row>
    <row r="235" spans="2:8" x14ac:dyDescent="0.25">
      <c r="B235" s="71">
        <v>46248</v>
      </c>
      <c r="C235" s="72">
        <v>14</v>
      </c>
      <c r="D235" s="72" t="s">
        <v>102</v>
      </c>
      <c r="E235" s="73" t="s">
        <v>35</v>
      </c>
      <c r="F235" s="73" t="s">
        <v>47</v>
      </c>
      <c r="G235" s="72" t="s">
        <v>85</v>
      </c>
      <c r="H235" s="47">
        <f>IF('Lançamento Diário'!P17="","",'Lançamento Diário'!P17)</f>
        <v>1</v>
      </c>
    </row>
    <row r="236" spans="2:8" x14ac:dyDescent="0.25">
      <c r="B236" s="71">
        <v>46249</v>
      </c>
      <c r="C236" s="72">
        <v>15</v>
      </c>
      <c r="D236" s="72" t="s">
        <v>96</v>
      </c>
      <c r="E236" s="73" t="s">
        <v>35</v>
      </c>
      <c r="F236" s="73" t="s">
        <v>47</v>
      </c>
      <c r="G236" s="72" t="s">
        <v>85</v>
      </c>
      <c r="H236" s="47">
        <f>IF('Lançamento Diário'!Q17="","",'Lançamento Diário'!Q17)</f>
        <v>0</v>
      </c>
    </row>
    <row r="237" spans="2:8" x14ac:dyDescent="0.25">
      <c r="B237" s="71">
        <v>46250</v>
      </c>
      <c r="C237" s="72">
        <v>16</v>
      </c>
      <c r="D237" s="72" t="s">
        <v>97</v>
      </c>
      <c r="E237" s="73" t="s">
        <v>35</v>
      </c>
      <c r="F237" s="73" t="s">
        <v>47</v>
      </c>
      <c r="G237" s="72" t="s">
        <v>85</v>
      </c>
      <c r="H237" s="47">
        <f>IF('Lançamento Diário'!R17="","",'Lançamento Diário'!R17)</f>
        <v>0</v>
      </c>
    </row>
    <row r="238" spans="2:8" x14ac:dyDescent="0.25">
      <c r="B238" s="71">
        <v>46251</v>
      </c>
      <c r="C238" s="72">
        <v>17</v>
      </c>
      <c r="D238" s="72" t="s">
        <v>98</v>
      </c>
      <c r="E238" s="73" t="s">
        <v>35</v>
      </c>
      <c r="F238" s="73" t="s">
        <v>47</v>
      </c>
      <c r="G238" s="72" t="s">
        <v>85</v>
      </c>
      <c r="H238" s="47">
        <f>IF('Lançamento Diário'!S17="","",'Lançamento Diário'!S17)</f>
        <v>0</v>
      </c>
    </row>
    <row r="239" spans="2:8" x14ac:dyDescent="0.25">
      <c r="B239" s="71">
        <v>46252</v>
      </c>
      <c r="C239" s="72">
        <v>18</v>
      </c>
      <c r="D239" s="72" t="s">
        <v>99</v>
      </c>
      <c r="E239" s="73" t="s">
        <v>35</v>
      </c>
      <c r="F239" s="73" t="s">
        <v>47</v>
      </c>
      <c r="G239" s="72" t="s">
        <v>85</v>
      </c>
      <c r="H239" s="47">
        <f>IF('Lançamento Diário'!T17="","",'Lançamento Diário'!T17)</f>
        <v>3</v>
      </c>
    </row>
    <row r="240" spans="2:8" x14ac:dyDescent="0.25">
      <c r="B240" s="71">
        <v>46253</v>
      </c>
      <c r="C240" s="72">
        <v>19</v>
      </c>
      <c r="D240" s="72" t="s">
        <v>100</v>
      </c>
      <c r="E240" s="73" t="s">
        <v>35</v>
      </c>
      <c r="F240" s="73" t="s">
        <v>47</v>
      </c>
      <c r="G240" s="72" t="s">
        <v>85</v>
      </c>
      <c r="H240" s="47">
        <f>IF('Lançamento Diário'!U17="","",'Lançamento Diário'!U17)</f>
        <v>3</v>
      </c>
    </row>
    <row r="241" spans="2:8" x14ac:dyDescent="0.25">
      <c r="B241" s="71">
        <v>46254</v>
      </c>
      <c r="C241" s="72">
        <v>20</v>
      </c>
      <c r="D241" s="72" t="s">
        <v>101</v>
      </c>
      <c r="E241" s="73" t="s">
        <v>35</v>
      </c>
      <c r="F241" s="73" t="s">
        <v>47</v>
      </c>
      <c r="G241" s="72" t="s">
        <v>85</v>
      </c>
      <c r="H241" s="47">
        <f>IF('Lançamento Diário'!V17="","",'Lançamento Diário'!V17)</f>
        <v>2</v>
      </c>
    </row>
    <row r="242" spans="2:8" x14ac:dyDescent="0.25">
      <c r="B242" s="71">
        <v>46255</v>
      </c>
      <c r="C242" s="72">
        <v>21</v>
      </c>
      <c r="D242" s="72" t="s">
        <v>102</v>
      </c>
      <c r="E242" s="73" t="s">
        <v>35</v>
      </c>
      <c r="F242" s="73" t="s">
        <v>47</v>
      </c>
      <c r="G242" s="72" t="s">
        <v>85</v>
      </c>
      <c r="H242" s="47">
        <f>IF('Lançamento Diário'!W17="","",'Lançamento Diário'!W17)</f>
        <v>4</v>
      </c>
    </row>
    <row r="243" spans="2:8" x14ac:dyDescent="0.25">
      <c r="B243" s="71">
        <v>46256</v>
      </c>
      <c r="C243" s="72">
        <v>22</v>
      </c>
      <c r="D243" s="72" t="s">
        <v>96</v>
      </c>
      <c r="E243" s="73" t="s">
        <v>35</v>
      </c>
      <c r="F243" s="73" t="s">
        <v>47</v>
      </c>
      <c r="G243" s="72" t="s">
        <v>85</v>
      </c>
      <c r="H243" s="47">
        <f>IF('Lançamento Diário'!X17="","",'Lançamento Diário'!X17)</f>
        <v>0</v>
      </c>
    </row>
    <row r="244" spans="2:8" x14ac:dyDescent="0.25">
      <c r="B244" s="71">
        <v>46257</v>
      </c>
      <c r="C244" s="72">
        <v>23</v>
      </c>
      <c r="D244" s="72" t="s">
        <v>97</v>
      </c>
      <c r="E244" s="73" t="s">
        <v>35</v>
      </c>
      <c r="F244" s="73" t="s">
        <v>47</v>
      </c>
      <c r="G244" s="72" t="s">
        <v>85</v>
      </c>
      <c r="H244" s="47">
        <f>IF('Lançamento Diário'!Y17="","",'Lançamento Diário'!Y17)</f>
        <v>0</v>
      </c>
    </row>
    <row r="245" spans="2:8" x14ac:dyDescent="0.25">
      <c r="B245" s="71">
        <v>46258</v>
      </c>
      <c r="C245" s="72">
        <v>24</v>
      </c>
      <c r="D245" s="72" t="s">
        <v>98</v>
      </c>
      <c r="E245" s="73" t="s">
        <v>35</v>
      </c>
      <c r="F245" s="73" t="s">
        <v>47</v>
      </c>
      <c r="G245" s="72" t="s">
        <v>85</v>
      </c>
      <c r="H245" s="47">
        <f>IF('Lançamento Diário'!Z17="","",'Lançamento Diário'!Z17)</f>
        <v>3</v>
      </c>
    </row>
    <row r="246" spans="2:8" x14ac:dyDescent="0.25">
      <c r="B246" s="71">
        <v>46259</v>
      </c>
      <c r="C246" s="72">
        <v>25</v>
      </c>
      <c r="D246" s="72" t="s">
        <v>99</v>
      </c>
      <c r="E246" s="73" t="s">
        <v>35</v>
      </c>
      <c r="F246" s="73" t="s">
        <v>47</v>
      </c>
      <c r="G246" s="72" t="s">
        <v>85</v>
      </c>
      <c r="H246" s="47">
        <f>IF('Lançamento Diário'!AA17="","",'Lançamento Diário'!AA17)</f>
        <v>2</v>
      </c>
    </row>
    <row r="247" spans="2:8" x14ac:dyDescent="0.25">
      <c r="B247" s="71">
        <v>46260</v>
      </c>
      <c r="C247" s="72">
        <v>26</v>
      </c>
      <c r="D247" s="72" t="s">
        <v>100</v>
      </c>
      <c r="E247" s="73" t="s">
        <v>35</v>
      </c>
      <c r="F247" s="73" t="s">
        <v>47</v>
      </c>
      <c r="G247" s="72" t="s">
        <v>85</v>
      </c>
      <c r="H247" s="47">
        <f>IF('Lançamento Diário'!AB17="","",'Lançamento Diário'!AB17)</f>
        <v>2</v>
      </c>
    </row>
    <row r="248" spans="2:8" x14ac:dyDescent="0.25">
      <c r="B248" s="71">
        <v>46261</v>
      </c>
      <c r="C248" s="72">
        <v>27</v>
      </c>
      <c r="D248" s="72" t="s">
        <v>101</v>
      </c>
      <c r="E248" s="73" t="s">
        <v>35</v>
      </c>
      <c r="F248" s="73" t="s">
        <v>47</v>
      </c>
      <c r="G248" s="72" t="s">
        <v>85</v>
      </c>
      <c r="H248" s="47">
        <f>IF('Lançamento Diário'!AC17="","",'Lançamento Diário'!AC17)</f>
        <v>6</v>
      </c>
    </row>
    <row r="249" spans="2:8" x14ac:dyDescent="0.25">
      <c r="B249" s="71">
        <v>46262</v>
      </c>
      <c r="C249" s="72">
        <v>28</v>
      </c>
      <c r="D249" s="72" t="s">
        <v>102</v>
      </c>
      <c r="E249" s="73" t="s">
        <v>35</v>
      </c>
      <c r="F249" s="73" t="s">
        <v>47</v>
      </c>
      <c r="G249" s="72" t="s">
        <v>85</v>
      </c>
      <c r="H249" s="47">
        <f>IF('Lançamento Diário'!AD17="","",'Lançamento Diário'!AD17)</f>
        <v>3</v>
      </c>
    </row>
    <row r="250" spans="2:8" x14ac:dyDescent="0.25">
      <c r="B250" s="71">
        <v>46263</v>
      </c>
      <c r="C250" s="72">
        <v>29</v>
      </c>
      <c r="D250" s="72" t="s">
        <v>96</v>
      </c>
      <c r="E250" s="73" t="s">
        <v>35</v>
      </c>
      <c r="F250" s="73" t="s">
        <v>47</v>
      </c>
      <c r="G250" s="72" t="s">
        <v>85</v>
      </c>
      <c r="H250" s="47">
        <f>IF('Lançamento Diário'!AE17="","",'Lançamento Diário'!AE17)</f>
        <v>1</v>
      </c>
    </row>
    <row r="251" spans="2:8" x14ac:dyDescent="0.25">
      <c r="B251" s="71">
        <v>46264</v>
      </c>
      <c r="C251" s="72">
        <v>30</v>
      </c>
      <c r="D251" s="72" t="s">
        <v>97</v>
      </c>
      <c r="E251" s="73" t="s">
        <v>35</v>
      </c>
      <c r="F251" s="73" t="s">
        <v>47</v>
      </c>
      <c r="G251" s="72" t="s">
        <v>85</v>
      </c>
      <c r="H251" s="47">
        <f>IF('Lançamento Diário'!AF17="","",'Lançamento Diário'!AF17)</f>
        <v>0</v>
      </c>
    </row>
    <row r="252" spans="2:8" x14ac:dyDescent="0.25">
      <c r="B252" s="71">
        <v>46265</v>
      </c>
      <c r="C252" s="72">
        <v>31</v>
      </c>
      <c r="D252" s="72" t="s">
        <v>98</v>
      </c>
      <c r="E252" s="73" t="s">
        <v>35</v>
      </c>
      <c r="F252" s="73" t="s">
        <v>47</v>
      </c>
      <c r="G252" s="72" t="s">
        <v>85</v>
      </c>
      <c r="H252" s="47">
        <f>IF('Lançamento Diário'!AG17="","",'Lançamento Diário'!AG17)</f>
        <v>3</v>
      </c>
    </row>
    <row r="253" spans="2:8" x14ac:dyDescent="0.25">
      <c r="B253" s="71">
        <v>46235</v>
      </c>
      <c r="C253" s="72">
        <v>1</v>
      </c>
      <c r="D253" s="72" t="s">
        <v>96</v>
      </c>
      <c r="E253" s="73" t="s">
        <v>35</v>
      </c>
      <c r="F253" s="73" t="s">
        <v>48</v>
      </c>
      <c r="G253" s="72" t="s">
        <v>85</v>
      </c>
      <c r="H253" s="47">
        <f>IF('Lançamento Diário'!C18="","",'Lançamento Diário'!C18)</f>
        <v>1</v>
      </c>
    </row>
    <row r="254" spans="2:8" x14ac:dyDescent="0.25">
      <c r="B254" s="71">
        <v>46236</v>
      </c>
      <c r="C254" s="72">
        <v>2</v>
      </c>
      <c r="D254" s="72" t="s">
        <v>97</v>
      </c>
      <c r="E254" s="73" t="s">
        <v>35</v>
      </c>
      <c r="F254" s="73" t="s">
        <v>48</v>
      </c>
      <c r="G254" s="72" t="s">
        <v>85</v>
      </c>
      <c r="H254" s="47">
        <f>IF('Lançamento Diário'!D18="","",'Lançamento Diário'!D18)</f>
        <v>0</v>
      </c>
    </row>
    <row r="255" spans="2:8" x14ac:dyDescent="0.25">
      <c r="B255" s="71">
        <v>46237</v>
      </c>
      <c r="C255" s="72">
        <v>3</v>
      </c>
      <c r="D255" s="72" t="s">
        <v>98</v>
      </c>
      <c r="E255" s="73" t="s">
        <v>35</v>
      </c>
      <c r="F255" s="73" t="s">
        <v>48</v>
      </c>
      <c r="G255" s="72" t="s">
        <v>85</v>
      </c>
      <c r="H255" s="47">
        <f>IF('Lançamento Diário'!E18="","",'Lançamento Diário'!E18)</f>
        <v>3</v>
      </c>
    </row>
    <row r="256" spans="2:8" x14ac:dyDescent="0.25">
      <c r="B256" s="71">
        <v>46238</v>
      </c>
      <c r="C256" s="72">
        <v>4</v>
      </c>
      <c r="D256" s="72" t="s">
        <v>99</v>
      </c>
      <c r="E256" s="73" t="s">
        <v>35</v>
      </c>
      <c r="F256" s="73" t="s">
        <v>48</v>
      </c>
      <c r="G256" s="72" t="s">
        <v>85</v>
      </c>
      <c r="H256" s="47">
        <f>IF('Lançamento Diário'!F18="","",'Lançamento Diário'!F18)</f>
        <v>6</v>
      </c>
    </row>
    <row r="257" spans="2:8" x14ac:dyDescent="0.25">
      <c r="B257" s="71">
        <v>46239</v>
      </c>
      <c r="C257" s="72">
        <v>5</v>
      </c>
      <c r="D257" s="72" t="s">
        <v>100</v>
      </c>
      <c r="E257" s="73" t="s">
        <v>35</v>
      </c>
      <c r="F257" s="73" t="s">
        <v>48</v>
      </c>
      <c r="G257" s="72" t="s">
        <v>85</v>
      </c>
      <c r="H257" s="47">
        <f>IF('Lançamento Diário'!G18="","",'Lançamento Diário'!G18)</f>
        <v>4</v>
      </c>
    </row>
    <row r="258" spans="2:8" x14ac:dyDescent="0.25">
      <c r="B258" s="71">
        <v>46240</v>
      </c>
      <c r="C258" s="72">
        <v>6</v>
      </c>
      <c r="D258" s="72" t="s">
        <v>101</v>
      </c>
      <c r="E258" s="73" t="s">
        <v>35</v>
      </c>
      <c r="F258" s="73" t="s">
        <v>48</v>
      </c>
      <c r="G258" s="72" t="s">
        <v>85</v>
      </c>
      <c r="H258" s="47">
        <f>IF('Lançamento Diário'!H18="","",'Lançamento Diário'!H18)</f>
        <v>3</v>
      </c>
    </row>
    <row r="259" spans="2:8" x14ac:dyDescent="0.25">
      <c r="B259" s="71">
        <v>46241</v>
      </c>
      <c r="C259" s="72">
        <v>7</v>
      </c>
      <c r="D259" s="72" t="s">
        <v>102</v>
      </c>
      <c r="E259" s="73" t="s">
        <v>35</v>
      </c>
      <c r="F259" s="73" t="s">
        <v>48</v>
      </c>
      <c r="G259" s="72" t="s">
        <v>85</v>
      </c>
      <c r="H259" s="47">
        <f>IF('Lançamento Diário'!I18="","",'Lançamento Diário'!I18)</f>
        <v>9</v>
      </c>
    </row>
    <row r="260" spans="2:8" x14ac:dyDescent="0.25">
      <c r="B260" s="71">
        <v>46242</v>
      </c>
      <c r="C260" s="72">
        <v>8</v>
      </c>
      <c r="D260" s="72" t="s">
        <v>96</v>
      </c>
      <c r="E260" s="73" t="s">
        <v>35</v>
      </c>
      <c r="F260" s="73" t="s">
        <v>48</v>
      </c>
      <c r="G260" s="72" t="s">
        <v>85</v>
      </c>
      <c r="H260" s="47">
        <f>IF('Lançamento Diário'!J18="","",'Lançamento Diário'!J18)</f>
        <v>3</v>
      </c>
    </row>
    <row r="261" spans="2:8" x14ac:dyDescent="0.25">
      <c r="B261" s="71">
        <v>46243</v>
      </c>
      <c r="C261" s="72">
        <v>9</v>
      </c>
      <c r="D261" s="72" t="s">
        <v>97</v>
      </c>
      <c r="E261" s="73" t="s">
        <v>35</v>
      </c>
      <c r="F261" s="73" t="s">
        <v>48</v>
      </c>
      <c r="G261" s="72" t="s">
        <v>85</v>
      </c>
      <c r="H261" s="47">
        <f>IF('Lançamento Diário'!K18="","",'Lançamento Diário'!K18)</f>
        <v>0</v>
      </c>
    </row>
    <row r="262" spans="2:8" x14ac:dyDescent="0.25">
      <c r="B262" s="71">
        <v>46244</v>
      </c>
      <c r="C262" s="72">
        <v>10</v>
      </c>
      <c r="D262" s="72" t="s">
        <v>98</v>
      </c>
      <c r="E262" s="73" t="s">
        <v>35</v>
      </c>
      <c r="F262" s="73" t="s">
        <v>48</v>
      </c>
      <c r="G262" s="72" t="s">
        <v>85</v>
      </c>
      <c r="H262" s="47">
        <f>IF('Lançamento Diário'!L18="","",'Lançamento Diário'!L18)</f>
        <v>1</v>
      </c>
    </row>
    <row r="263" spans="2:8" x14ac:dyDescent="0.25">
      <c r="B263" s="71">
        <v>46245</v>
      </c>
      <c r="C263" s="72">
        <v>11</v>
      </c>
      <c r="D263" s="72" t="s">
        <v>99</v>
      </c>
      <c r="E263" s="73" t="s">
        <v>35</v>
      </c>
      <c r="F263" s="73" t="s">
        <v>48</v>
      </c>
      <c r="G263" s="72" t="s">
        <v>85</v>
      </c>
      <c r="H263" s="47">
        <f>IF('Lançamento Diário'!M18="","",'Lançamento Diário'!M18)</f>
        <v>3</v>
      </c>
    </row>
    <row r="264" spans="2:8" x14ac:dyDescent="0.25">
      <c r="B264" s="71">
        <v>46246</v>
      </c>
      <c r="C264" s="72">
        <v>12</v>
      </c>
      <c r="D264" s="72" t="s">
        <v>100</v>
      </c>
      <c r="E264" s="73" t="s">
        <v>35</v>
      </c>
      <c r="F264" s="73" t="s">
        <v>48</v>
      </c>
      <c r="G264" s="72" t="s">
        <v>85</v>
      </c>
      <c r="H264" s="47">
        <f>IF('Lançamento Diário'!N18="","",'Lançamento Diário'!N18)</f>
        <v>3</v>
      </c>
    </row>
    <row r="265" spans="2:8" x14ac:dyDescent="0.25">
      <c r="B265" s="71">
        <v>46247</v>
      </c>
      <c r="C265" s="72">
        <v>13</v>
      </c>
      <c r="D265" s="72" t="s">
        <v>101</v>
      </c>
      <c r="E265" s="73" t="s">
        <v>35</v>
      </c>
      <c r="F265" s="73" t="s">
        <v>48</v>
      </c>
      <c r="G265" s="72" t="s">
        <v>85</v>
      </c>
      <c r="H265" s="47">
        <f>IF('Lançamento Diário'!O18="","",'Lançamento Diário'!O18)</f>
        <v>0</v>
      </c>
    </row>
    <row r="266" spans="2:8" x14ac:dyDescent="0.25">
      <c r="B266" s="71">
        <v>46248</v>
      </c>
      <c r="C266" s="72">
        <v>14</v>
      </c>
      <c r="D266" s="72" t="s">
        <v>102</v>
      </c>
      <c r="E266" s="73" t="s">
        <v>35</v>
      </c>
      <c r="F266" s="73" t="s">
        <v>48</v>
      </c>
      <c r="G266" s="72" t="s">
        <v>85</v>
      </c>
      <c r="H266" s="47">
        <f>IF('Lançamento Diário'!P18="","",'Lançamento Diário'!P18)</f>
        <v>2</v>
      </c>
    </row>
    <row r="267" spans="2:8" x14ac:dyDescent="0.25">
      <c r="B267" s="71">
        <v>46249</v>
      </c>
      <c r="C267" s="72">
        <v>15</v>
      </c>
      <c r="D267" s="72" t="s">
        <v>96</v>
      </c>
      <c r="E267" s="73" t="s">
        <v>35</v>
      </c>
      <c r="F267" s="73" t="s">
        <v>48</v>
      </c>
      <c r="G267" s="72" t="s">
        <v>85</v>
      </c>
      <c r="H267" s="47">
        <f>IF('Lançamento Diário'!Q18="","",'Lançamento Diário'!Q18)</f>
        <v>6</v>
      </c>
    </row>
    <row r="268" spans="2:8" x14ac:dyDescent="0.25">
      <c r="B268" s="71">
        <v>46250</v>
      </c>
      <c r="C268" s="72">
        <v>16</v>
      </c>
      <c r="D268" s="72" t="s">
        <v>97</v>
      </c>
      <c r="E268" s="73" t="s">
        <v>35</v>
      </c>
      <c r="F268" s="73" t="s">
        <v>48</v>
      </c>
      <c r="G268" s="72" t="s">
        <v>85</v>
      </c>
      <c r="H268" s="47">
        <f>IF('Lançamento Diário'!R18="","",'Lançamento Diário'!R18)</f>
        <v>0</v>
      </c>
    </row>
    <row r="269" spans="2:8" x14ac:dyDescent="0.25">
      <c r="B269" s="71">
        <v>46251</v>
      </c>
      <c r="C269" s="72">
        <v>17</v>
      </c>
      <c r="D269" s="72" t="s">
        <v>98</v>
      </c>
      <c r="E269" s="73" t="s">
        <v>35</v>
      </c>
      <c r="F269" s="73" t="s">
        <v>48</v>
      </c>
      <c r="G269" s="72" t="s">
        <v>85</v>
      </c>
      <c r="H269" s="47">
        <f>IF('Lançamento Diário'!S18="","",'Lançamento Diário'!S18)</f>
        <v>6</v>
      </c>
    </row>
    <row r="270" spans="2:8" x14ac:dyDescent="0.25">
      <c r="B270" s="71">
        <v>46252</v>
      </c>
      <c r="C270" s="72">
        <v>18</v>
      </c>
      <c r="D270" s="72" t="s">
        <v>99</v>
      </c>
      <c r="E270" s="73" t="s">
        <v>35</v>
      </c>
      <c r="F270" s="73" t="s">
        <v>48</v>
      </c>
      <c r="G270" s="72" t="s">
        <v>85</v>
      </c>
      <c r="H270" s="47">
        <f>IF('Lançamento Diário'!T18="","",'Lançamento Diário'!T18)</f>
        <v>8</v>
      </c>
    </row>
    <row r="271" spans="2:8" x14ac:dyDescent="0.25">
      <c r="B271" s="71">
        <v>46253</v>
      </c>
      <c r="C271" s="72">
        <v>19</v>
      </c>
      <c r="D271" s="72" t="s">
        <v>100</v>
      </c>
      <c r="E271" s="73" t="s">
        <v>35</v>
      </c>
      <c r="F271" s="73" t="s">
        <v>48</v>
      </c>
      <c r="G271" s="72" t="s">
        <v>85</v>
      </c>
      <c r="H271" s="47">
        <f>IF('Lançamento Diário'!U18="","",'Lançamento Diário'!U18)</f>
        <v>6</v>
      </c>
    </row>
    <row r="272" spans="2:8" x14ac:dyDescent="0.25">
      <c r="B272" s="71">
        <v>46254</v>
      </c>
      <c r="C272" s="72">
        <v>20</v>
      </c>
      <c r="D272" s="72" t="s">
        <v>101</v>
      </c>
      <c r="E272" s="73" t="s">
        <v>35</v>
      </c>
      <c r="F272" s="73" t="s">
        <v>48</v>
      </c>
      <c r="G272" s="72" t="s">
        <v>85</v>
      </c>
      <c r="H272" s="47">
        <f>IF('Lançamento Diário'!V18="","",'Lançamento Diário'!V18)</f>
        <v>3</v>
      </c>
    </row>
    <row r="273" spans="2:8" x14ac:dyDescent="0.25">
      <c r="B273" s="71">
        <v>46255</v>
      </c>
      <c r="C273" s="72">
        <v>21</v>
      </c>
      <c r="D273" s="72" t="s">
        <v>102</v>
      </c>
      <c r="E273" s="73" t="s">
        <v>35</v>
      </c>
      <c r="F273" s="73" t="s">
        <v>48</v>
      </c>
      <c r="G273" s="72" t="s">
        <v>85</v>
      </c>
      <c r="H273" s="47">
        <f>IF('Lançamento Diário'!W18="","",'Lançamento Diário'!W18)</f>
        <v>1</v>
      </c>
    </row>
    <row r="274" spans="2:8" x14ac:dyDescent="0.25">
      <c r="B274" s="71">
        <v>46256</v>
      </c>
      <c r="C274" s="72">
        <v>22</v>
      </c>
      <c r="D274" s="72" t="s">
        <v>96</v>
      </c>
      <c r="E274" s="73" t="s">
        <v>35</v>
      </c>
      <c r="F274" s="73" t="s">
        <v>48</v>
      </c>
      <c r="G274" s="72" t="s">
        <v>85</v>
      </c>
      <c r="H274" s="47">
        <f>IF('Lançamento Diário'!X18="","",'Lançamento Diário'!X18)</f>
        <v>3</v>
      </c>
    </row>
    <row r="275" spans="2:8" x14ac:dyDescent="0.25">
      <c r="B275" s="71">
        <v>46257</v>
      </c>
      <c r="C275" s="72">
        <v>23</v>
      </c>
      <c r="D275" s="72" t="s">
        <v>97</v>
      </c>
      <c r="E275" s="73" t="s">
        <v>35</v>
      </c>
      <c r="F275" s="73" t="s">
        <v>48</v>
      </c>
      <c r="G275" s="72" t="s">
        <v>85</v>
      </c>
      <c r="H275" s="47">
        <f>IF('Lançamento Diário'!Y18="","",'Lançamento Diário'!Y18)</f>
        <v>0</v>
      </c>
    </row>
    <row r="276" spans="2:8" x14ac:dyDescent="0.25">
      <c r="B276" s="71">
        <v>46258</v>
      </c>
      <c r="C276" s="72">
        <v>24</v>
      </c>
      <c r="D276" s="72" t="s">
        <v>98</v>
      </c>
      <c r="E276" s="73" t="s">
        <v>35</v>
      </c>
      <c r="F276" s="73" t="s">
        <v>48</v>
      </c>
      <c r="G276" s="72" t="s">
        <v>85</v>
      </c>
      <c r="H276" s="47">
        <f>IF('Lançamento Diário'!Z18="","",'Lançamento Diário'!Z18)</f>
        <v>1</v>
      </c>
    </row>
    <row r="277" spans="2:8" x14ac:dyDescent="0.25">
      <c r="B277" s="71">
        <v>46259</v>
      </c>
      <c r="C277" s="72">
        <v>25</v>
      </c>
      <c r="D277" s="72" t="s">
        <v>99</v>
      </c>
      <c r="E277" s="73" t="s">
        <v>35</v>
      </c>
      <c r="F277" s="73" t="s">
        <v>48</v>
      </c>
      <c r="G277" s="72" t="s">
        <v>85</v>
      </c>
      <c r="H277" s="47">
        <f>IF('Lançamento Diário'!AA18="","",'Lançamento Diário'!AA18)</f>
        <v>5</v>
      </c>
    </row>
    <row r="278" spans="2:8" x14ac:dyDescent="0.25">
      <c r="B278" s="71">
        <v>46260</v>
      </c>
      <c r="C278" s="72">
        <v>26</v>
      </c>
      <c r="D278" s="72" t="s">
        <v>100</v>
      </c>
      <c r="E278" s="73" t="s">
        <v>35</v>
      </c>
      <c r="F278" s="73" t="s">
        <v>48</v>
      </c>
      <c r="G278" s="72" t="s">
        <v>85</v>
      </c>
      <c r="H278" s="47">
        <f>IF('Lançamento Diário'!AB18="","",'Lançamento Diário'!AB18)</f>
        <v>7</v>
      </c>
    </row>
    <row r="279" spans="2:8" x14ac:dyDescent="0.25">
      <c r="B279" s="71">
        <v>46261</v>
      </c>
      <c r="C279" s="72">
        <v>27</v>
      </c>
      <c r="D279" s="72" t="s">
        <v>101</v>
      </c>
      <c r="E279" s="73" t="s">
        <v>35</v>
      </c>
      <c r="F279" s="73" t="s">
        <v>48</v>
      </c>
      <c r="G279" s="72" t="s">
        <v>85</v>
      </c>
      <c r="H279" s="47">
        <f>IF('Lançamento Diário'!AC18="","",'Lançamento Diário'!AC18)</f>
        <v>3</v>
      </c>
    </row>
    <row r="280" spans="2:8" x14ac:dyDescent="0.25">
      <c r="B280" s="71">
        <v>46262</v>
      </c>
      <c r="C280" s="72">
        <v>28</v>
      </c>
      <c r="D280" s="72" t="s">
        <v>102</v>
      </c>
      <c r="E280" s="73" t="s">
        <v>35</v>
      </c>
      <c r="F280" s="73" t="s">
        <v>48</v>
      </c>
      <c r="G280" s="72" t="s">
        <v>85</v>
      </c>
      <c r="H280" s="47">
        <f>IF('Lançamento Diário'!AD18="","",'Lançamento Diário'!AD18)</f>
        <v>4</v>
      </c>
    </row>
    <row r="281" spans="2:8" x14ac:dyDescent="0.25">
      <c r="B281" s="71">
        <v>46263</v>
      </c>
      <c r="C281" s="72">
        <v>29</v>
      </c>
      <c r="D281" s="72" t="s">
        <v>96</v>
      </c>
      <c r="E281" s="73" t="s">
        <v>35</v>
      </c>
      <c r="F281" s="73" t="s">
        <v>48</v>
      </c>
      <c r="G281" s="72" t="s">
        <v>85</v>
      </c>
      <c r="H281" s="47">
        <f>IF('Lançamento Diário'!AE18="","",'Lançamento Diário'!AE18)</f>
        <v>2</v>
      </c>
    </row>
    <row r="282" spans="2:8" x14ac:dyDescent="0.25">
      <c r="B282" s="71">
        <v>46264</v>
      </c>
      <c r="C282" s="72">
        <v>30</v>
      </c>
      <c r="D282" s="72" t="s">
        <v>97</v>
      </c>
      <c r="E282" s="73" t="s">
        <v>35</v>
      </c>
      <c r="F282" s="73" t="s">
        <v>48</v>
      </c>
      <c r="G282" s="72" t="s">
        <v>85</v>
      </c>
      <c r="H282" s="47">
        <f>IF('Lançamento Diário'!AF18="","",'Lançamento Diário'!AF18)</f>
        <v>0</v>
      </c>
    </row>
    <row r="283" spans="2:8" x14ac:dyDescent="0.25">
      <c r="B283" s="71">
        <v>46265</v>
      </c>
      <c r="C283" s="72">
        <v>31</v>
      </c>
      <c r="D283" s="72" t="s">
        <v>98</v>
      </c>
      <c r="E283" s="73" t="s">
        <v>35</v>
      </c>
      <c r="F283" s="73" t="s">
        <v>48</v>
      </c>
      <c r="G283" s="72" t="s">
        <v>85</v>
      </c>
      <c r="H283" s="47">
        <f>IF('Lançamento Diário'!AG18="","",'Lançamento Diário'!AG18)</f>
        <v>3</v>
      </c>
    </row>
    <row r="284" spans="2:8" x14ac:dyDescent="0.25">
      <c r="B284" s="71">
        <v>46235</v>
      </c>
      <c r="C284" s="72">
        <v>1</v>
      </c>
      <c r="D284" s="72" t="s">
        <v>96</v>
      </c>
      <c r="E284" s="73" t="s">
        <v>35</v>
      </c>
      <c r="F284" s="73" t="s">
        <v>49</v>
      </c>
      <c r="G284" s="72" t="s">
        <v>49</v>
      </c>
      <c r="H284" s="47">
        <f>IF('Lançamento Diário'!C19="","",'Lançamento Diário'!C19)</f>
        <v>0</v>
      </c>
    </row>
    <row r="285" spans="2:8" x14ac:dyDescent="0.25">
      <c r="B285" s="71">
        <v>46236</v>
      </c>
      <c r="C285" s="72">
        <v>2</v>
      </c>
      <c r="D285" s="72" t="s">
        <v>97</v>
      </c>
      <c r="E285" s="73" t="s">
        <v>35</v>
      </c>
      <c r="F285" s="73" t="s">
        <v>49</v>
      </c>
      <c r="G285" s="72" t="s">
        <v>49</v>
      </c>
      <c r="H285" s="47">
        <f>IF('Lançamento Diário'!D19="","",'Lançamento Diário'!D19)</f>
        <v>0</v>
      </c>
    </row>
    <row r="286" spans="2:8" x14ac:dyDescent="0.25">
      <c r="B286" s="71">
        <v>46237</v>
      </c>
      <c r="C286" s="72">
        <v>3</v>
      </c>
      <c r="D286" s="72" t="s">
        <v>98</v>
      </c>
      <c r="E286" s="73" t="s">
        <v>35</v>
      </c>
      <c r="F286" s="73" t="s">
        <v>49</v>
      </c>
      <c r="G286" s="72" t="s">
        <v>49</v>
      </c>
      <c r="H286" s="47">
        <f>IF('Lançamento Diário'!E19="","",'Lançamento Diário'!E19)</f>
        <v>3</v>
      </c>
    </row>
    <row r="287" spans="2:8" x14ac:dyDescent="0.25">
      <c r="B287" s="71">
        <v>46238</v>
      </c>
      <c r="C287" s="72">
        <v>4</v>
      </c>
      <c r="D287" s="72" t="s">
        <v>99</v>
      </c>
      <c r="E287" s="73" t="s">
        <v>35</v>
      </c>
      <c r="F287" s="73" t="s">
        <v>49</v>
      </c>
      <c r="G287" s="72" t="s">
        <v>49</v>
      </c>
      <c r="H287" s="47">
        <f>IF('Lançamento Diário'!F19="","",'Lançamento Diário'!F19)</f>
        <v>0</v>
      </c>
    </row>
    <row r="288" spans="2:8" x14ac:dyDescent="0.25">
      <c r="B288" s="71">
        <v>46239</v>
      </c>
      <c r="C288" s="72">
        <v>5</v>
      </c>
      <c r="D288" s="72" t="s">
        <v>100</v>
      </c>
      <c r="E288" s="73" t="s">
        <v>35</v>
      </c>
      <c r="F288" s="73" t="s">
        <v>49</v>
      </c>
      <c r="G288" s="72" t="s">
        <v>49</v>
      </c>
      <c r="H288" s="47">
        <f>IF('Lançamento Diário'!G19="","",'Lançamento Diário'!G19)</f>
        <v>0</v>
      </c>
    </row>
    <row r="289" spans="2:8" x14ac:dyDescent="0.25">
      <c r="B289" s="71">
        <v>46240</v>
      </c>
      <c r="C289" s="72">
        <v>6</v>
      </c>
      <c r="D289" s="72" t="s">
        <v>101</v>
      </c>
      <c r="E289" s="73" t="s">
        <v>35</v>
      </c>
      <c r="F289" s="73" t="s">
        <v>49</v>
      </c>
      <c r="G289" s="72" t="s">
        <v>49</v>
      </c>
      <c r="H289" s="47">
        <f>IF('Lançamento Diário'!H19="","",'Lançamento Diário'!H19)</f>
        <v>0</v>
      </c>
    </row>
    <row r="290" spans="2:8" x14ac:dyDescent="0.25">
      <c r="B290" s="71">
        <v>46241</v>
      </c>
      <c r="C290" s="72">
        <v>7</v>
      </c>
      <c r="D290" s="72" t="s">
        <v>102</v>
      </c>
      <c r="E290" s="73" t="s">
        <v>35</v>
      </c>
      <c r="F290" s="73" t="s">
        <v>49</v>
      </c>
      <c r="G290" s="72" t="s">
        <v>49</v>
      </c>
      <c r="H290" s="47">
        <f>IF('Lançamento Diário'!I19="","",'Lançamento Diário'!I19)</f>
        <v>0</v>
      </c>
    </row>
    <row r="291" spans="2:8" x14ac:dyDescent="0.25">
      <c r="B291" s="71">
        <v>46242</v>
      </c>
      <c r="C291" s="72">
        <v>8</v>
      </c>
      <c r="D291" s="72" t="s">
        <v>96</v>
      </c>
      <c r="E291" s="73" t="s">
        <v>35</v>
      </c>
      <c r="F291" s="73" t="s">
        <v>49</v>
      </c>
      <c r="G291" s="72" t="s">
        <v>49</v>
      </c>
      <c r="H291" s="47">
        <f>IF('Lançamento Diário'!J19="","",'Lançamento Diário'!J19)</f>
        <v>0</v>
      </c>
    </row>
    <row r="292" spans="2:8" x14ac:dyDescent="0.25">
      <c r="B292" s="71">
        <v>46243</v>
      </c>
      <c r="C292" s="72">
        <v>9</v>
      </c>
      <c r="D292" s="72" t="s">
        <v>97</v>
      </c>
      <c r="E292" s="73" t="s">
        <v>35</v>
      </c>
      <c r="F292" s="73" t="s">
        <v>49</v>
      </c>
      <c r="G292" s="72" t="s">
        <v>49</v>
      </c>
      <c r="H292" s="47">
        <f>IF('Lançamento Diário'!K19="","",'Lançamento Diário'!K19)</f>
        <v>0</v>
      </c>
    </row>
    <row r="293" spans="2:8" x14ac:dyDescent="0.25">
      <c r="B293" s="71">
        <v>46244</v>
      </c>
      <c r="C293" s="72">
        <v>10</v>
      </c>
      <c r="D293" s="72" t="s">
        <v>98</v>
      </c>
      <c r="E293" s="73" t="s">
        <v>35</v>
      </c>
      <c r="F293" s="73" t="s">
        <v>49</v>
      </c>
      <c r="G293" s="72" t="s">
        <v>49</v>
      </c>
      <c r="H293" s="47">
        <f>IF('Lançamento Diário'!L19="","",'Lançamento Diário'!L19)</f>
        <v>1</v>
      </c>
    </row>
    <row r="294" spans="2:8" x14ac:dyDescent="0.25">
      <c r="B294" s="71">
        <v>46245</v>
      </c>
      <c r="C294" s="72">
        <v>11</v>
      </c>
      <c r="D294" s="72" t="s">
        <v>99</v>
      </c>
      <c r="E294" s="73" t="s">
        <v>35</v>
      </c>
      <c r="F294" s="73" t="s">
        <v>49</v>
      </c>
      <c r="G294" s="72" t="s">
        <v>49</v>
      </c>
      <c r="H294" s="47">
        <f>IF('Lançamento Diário'!M19="","",'Lançamento Diário'!M19)</f>
        <v>0</v>
      </c>
    </row>
    <row r="295" spans="2:8" x14ac:dyDescent="0.25">
      <c r="B295" s="71">
        <v>46246</v>
      </c>
      <c r="C295" s="72">
        <v>12</v>
      </c>
      <c r="D295" s="72" t="s">
        <v>100</v>
      </c>
      <c r="E295" s="73" t="s">
        <v>35</v>
      </c>
      <c r="F295" s="73" t="s">
        <v>49</v>
      </c>
      <c r="G295" s="72" t="s">
        <v>49</v>
      </c>
      <c r="H295" s="47">
        <f>IF('Lançamento Diário'!N19="","",'Lançamento Diário'!N19)</f>
        <v>0</v>
      </c>
    </row>
    <row r="296" spans="2:8" x14ac:dyDescent="0.25">
      <c r="B296" s="71">
        <v>46247</v>
      </c>
      <c r="C296" s="72">
        <v>13</v>
      </c>
      <c r="D296" s="72" t="s">
        <v>101</v>
      </c>
      <c r="E296" s="73" t="s">
        <v>35</v>
      </c>
      <c r="F296" s="73" t="s">
        <v>49</v>
      </c>
      <c r="G296" s="72" t="s">
        <v>49</v>
      </c>
      <c r="H296" s="47">
        <f>IF('Lançamento Diário'!O19="","",'Lançamento Diário'!O19)</f>
        <v>0</v>
      </c>
    </row>
    <row r="297" spans="2:8" x14ac:dyDescent="0.25">
      <c r="B297" s="71">
        <v>46248</v>
      </c>
      <c r="C297" s="72">
        <v>14</v>
      </c>
      <c r="D297" s="72" t="s">
        <v>102</v>
      </c>
      <c r="E297" s="73" t="s">
        <v>35</v>
      </c>
      <c r="F297" s="73" t="s">
        <v>49</v>
      </c>
      <c r="G297" s="72" t="s">
        <v>49</v>
      </c>
      <c r="H297" s="47">
        <f>IF('Lançamento Diário'!P19="","",'Lançamento Diário'!P19)</f>
        <v>0</v>
      </c>
    </row>
    <row r="298" spans="2:8" x14ac:dyDescent="0.25">
      <c r="B298" s="71">
        <v>46249</v>
      </c>
      <c r="C298" s="72">
        <v>15</v>
      </c>
      <c r="D298" s="72" t="s">
        <v>96</v>
      </c>
      <c r="E298" s="73" t="s">
        <v>35</v>
      </c>
      <c r="F298" s="73" t="s">
        <v>49</v>
      </c>
      <c r="G298" s="72" t="s">
        <v>49</v>
      </c>
      <c r="H298" s="47">
        <f>IF('Lançamento Diário'!Q19="","",'Lançamento Diário'!Q19)</f>
        <v>0</v>
      </c>
    </row>
    <row r="299" spans="2:8" x14ac:dyDescent="0.25">
      <c r="B299" s="71">
        <v>46250</v>
      </c>
      <c r="C299" s="72">
        <v>16</v>
      </c>
      <c r="D299" s="72" t="s">
        <v>97</v>
      </c>
      <c r="E299" s="73" t="s">
        <v>35</v>
      </c>
      <c r="F299" s="73" t="s">
        <v>49</v>
      </c>
      <c r="G299" s="72" t="s">
        <v>49</v>
      </c>
      <c r="H299" s="47">
        <f>IF('Lançamento Diário'!R19="","",'Lançamento Diário'!R19)</f>
        <v>0</v>
      </c>
    </row>
    <row r="300" spans="2:8" x14ac:dyDescent="0.25">
      <c r="B300" s="71">
        <v>46251</v>
      </c>
      <c r="C300" s="72">
        <v>17</v>
      </c>
      <c r="D300" s="72" t="s">
        <v>98</v>
      </c>
      <c r="E300" s="73" t="s">
        <v>35</v>
      </c>
      <c r="F300" s="73" t="s">
        <v>49</v>
      </c>
      <c r="G300" s="72" t="s">
        <v>49</v>
      </c>
      <c r="H300" s="47">
        <f>IF('Lançamento Diário'!S19="","",'Lançamento Diário'!S19)</f>
        <v>0</v>
      </c>
    </row>
    <row r="301" spans="2:8" x14ac:dyDescent="0.25">
      <c r="B301" s="71">
        <v>46252</v>
      </c>
      <c r="C301" s="72">
        <v>18</v>
      </c>
      <c r="D301" s="72" t="s">
        <v>99</v>
      </c>
      <c r="E301" s="73" t="s">
        <v>35</v>
      </c>
      <c r="F301" s="73" t="s">
        <v>49</v>
      </c>
      <c r="G301" s="72" t="s">
        <v>49</v>
      </c>
      <c r="H301" s="47">
        <f>IF('Lançamento Diário'!T19="","",'Lançamento Diário'!T19)</f>
        <v>0</v>
      </c>
    </row>
    <row r="302" spans="2:8" x14ac:dyDescent="0.25">
      <c r="B302" s="71">
        <v>46253</v>
      </c>
      <c r="C302" s="72">
        <v>19</v>
      </c>
      <c r="D302" s="72" t="s">
        <v>100</v>
      </c>
      <c r="E302" s="73" t="s">
        <v>35</v>
      </c>
      <c r="F302" s="73" t="s">
        <v>49</v>
      </c>
      <c r="G302" s="72" t="s">
        <v>49</v>
      </c>
      <c r="H302" s="47">
        <f>IF('Lançamento Diário'!U19="","",'Lançamento Diário'!U19)</f>
        <v>1</v>
      </c>
    </row>
    <row r="303" spans="2:8" x14ac:dyDescent="0.25">
      <c r="B303" s="71">
        <v>46254</v>
      </c>
      <c r="C303" s="72">
        <v>20</v>
      </c>
      <c r="D303" s="72" t="s">
        <v>101</v>
      </c>
      <c r="E303" s="73" t="s">
        <v>35</v>
      </c>
      <c r="F303" s="73" t="s">
        <v>49</v>
      </c>
      <c r="G303" s="72" t="s">
        <v>49</v>
      </c>
      <c r="H303" s="47">
        <f>IF('Lançamento Diário'!V19="","",'Lançamento Diário'!V19)</f>
        <v>0</v>
      </c>
    </row>
    <row r="304" spans="2:8" x14ac:dyDescent="0.25">
      <c r="B304" s="71">
        <v>46255</v>
      </c>
      <c r="C304" s="72">
        <v>21</v>
      </c>
      <c r="D304" s="72" t="s">
        <v>102</v>
      </c>
      <c r="E304" s="73" t="s">
        <v>35</v>
      </c>
      <c r="F304" s="73" t="s">
        <v>49</v>
      </c>
      <c r="G304" s="72" t="s">
        <v>49</v>
      </c>
      <c r="H304" s="47">
        <f>IF('Lançamento Diário'!W19="","",'Lançamento Diário'!W19)</f>
        <v>0</v>
      </c>
    </row>
    <row r="305" spans="2:8" x14ac:dyDescent="0.25">
      <c r="B305" s="71">
        <v>46256</v>
      </c>
      <c r="C305" s="72">
        <v>22</v>
      </c>
      <c r="D305" s="72" t="s">
        <v>96</v>
      </c>
      <c r="E305" s="73" t="s">
        <v>35</v>
      </c>
      <c r="F305" s="73" t="s">
        <v>49</v>
      </c>
      <c r="G305" s="72" t="s">
        <v>49</v>
      </c>
      <c r="H305" s="47">
        <f>IF('Lançamento Diário'!X19="","",'Lançamento Diário'!X19)</f>
        <v>0</v>
      </c>
    </row>
    <row r="306" spans="2:8" x14ac:dyDescent="0.25">
      <c r="B306" s="71">
        <v>46257</v>
      </c>
      <c r="C306" s="72">
        <v>23</v>
      </c>
      <c r="D306" s="72" t="s">
        <v>97</v>
      </c>
      <c r="E306" s="73" t="s">
        <v>35</v>
      </c>
      <c r="F306" s="73" t="s">
        <v>49</v>
      </c>
      <c r="G306" s="72" t="s">
        <v>49</v>
      </c>
      <c r="H306" s="47">
        <f>IF('Lançamento Diário'!Y19="","",'Lançamento Diário'!Y19)</f>
        <v>0</v>
      </c>
    </row>
    <row r="307" spans="2:8" x14ac:dyDescent="0.25">
      <c r="B307" s="71">
        <v>46258</v>
      </c>
      <c r="C307" s="72">
        <v>24</v>
      </c>
      <c r="D307" s="72" t="s">
        <v>98</v>
      </c>
      <c r="E307" s="73" t="s">
        <v>35</v>
      </c>
      <c r="F307" s="73" t="s">
        <v>49</v>
      </c>
      <c r="G307" s="72" t="s">
        <v>49</v>
      </c>
      <c r="H307" s="47">
        <f>IF('Lançamento Diário'!Z19="","",'Lançamento Diário'!Z19)</f>
        <v>0</v>
      </c>
    </row>
    <row r="308" spans="2:8" x14ac:dyDescent="0.25">
      <c r="B308" s="71">
        <v>46259</v>
      </c>
      <c r="C308" s="72">
        <v>25</v>
      </c>
      <c r="D308" s="72" t="s">
        <v>99</v>
      </c>
      <c r="E308" s="73" t="s">
        <v>35</v>
      </c>
      <c r="F308" s="73" t="s">
        <v>49</v>
      </c>
      <c r="G308" s="72" t="s">
        <v>49</v>
      </c>
      <c r="H308" s="47">
        <f>IF('Lançamento Diário'!AA19="","",'Lançamento Diário'!AA19)</f>
        <v>0</v>
      </c>
    </row>
    <row r="309" spans="2:8" x14ac:dyDescent="0.25">
      <c r="B309" s="71">
        <v>46260</v>
      </c>
      <c r="C309" s="72">
        <v>26</v>
      </c>
      <c r="D309" s="72" t="s">
        <v>100</v>
      </c>
      <c r="E309" s="73" t="s">
        <v>35</v>
      </c>
      <c r="F309" s="73" t="s">
        <v>49</v>
      </c>
      <c r="G309" s="72" t="s">
        <v>49</v>
      </c>
      <c r="H309" s="47">
        <f>IF('Lançamento Diário'!AB19="","",'Lançamento Diário'!AB19)</f>
        <v>0</v>
      </c>
    </row>
    <row r="310" spans="2:8" x14ac:dyDescent="0.25">
      <c r="B310" s="71">
        <v>46261</v>
      </c>
      <c r="C310" s="72">
        <v>27</v>
      </c>
      <c r="D310" s="72" t="s">
        <v>101</v>
      </c>
      <c r="E310" s="73" t="s">
        <v>35</v>
      </c>
      <c r="F310" s="73" t="s">
        <v>49</v>
      </c>
      <c r="G310" s="72" t="s">
        <v>49</v>
      </c>
      <c r="H310" s="47">
        <f>IF('Lançamento Diário'!AC19="","",'Lançamento Diário'!AC19)</f>
        <v>0</v>
      </c>
    </row>
    <row r="311" spans="2:8" x14ac:dyDescent="0.25">
      <c r="B311" s="71">
        <v>46262</v>
      </c>
      <c r="C311" s="72">
        <v>28</v>
      </c>
      <c r="D311" s="72" t="s">
        <v>102</v>
      </c>
      <c r="E311" s="73" t="s">
        <v>35</v>
      </c>
      <c r="F311" s="73" t="s">
        <v>49</v>
      </c>
      <c r="G311" s="72" t="s">
        <v>49</v>
      </c>
      <c r="H311" s="47">
        <f>IF('Lançamento Diário'!AD19="","",'Lançamento Diário'!AD19)</f>
        <v>0</v>
      </c>
    </row>
    <row r="312" spans="2:8" x14ac:dyDescent="0.25">
      <c r="B312" s="71">
        <v>46263</v>
      </c>
      <c r="C312" s="72">
        <v>29</v>
      </c>
      <c r="D312" s="72" t="s">
        <v>96</v>
      </c>
      <c r="E312" s="73" t="s">
        <v>35</v>
      </c>
      <c r="F312" s="73" t="s">
        <v>49</v>
      </c>
      <c r="G312" s="72" t="s">
        <v>49</v>
      </c>
      <c r="H312" s="47">
        <f>IF('Lançamento Diário'!AE19="","",'Lançamento Diário'!AE19)</f>
        <v>0</v>
      </c>
    </row>
    <row r="313" spans="2:8" x14ac:dyDescent="0.25">
      <c r="B313" s="71">
        <v>46264</v>
      </c>
      <c r="C313" s="72">
        <v>30</v>
      </c>
      <c r="D313" s="72" t="s">
        <v>97</v>
      </c>
      <c r="E313" s="73" t="s">
        <v>35</v>
      </c>
      <c r="F313" s="73" t="s">
        <v>49</v>
      </c>
      <c r="G313" s="72" t="s">
        <v>49</v>
      </c>
      <c r="H313" s="47">
        <f>IF('Lançamento Diário'!AF19="","",'Lançamento Diário'!AF19)</f>
        <v>0</v>
      </c>
    </row>
    <row r="314" spans="2:8" x14ac:dyDescent="0.25">
      <c r="B314" s="71">
        <v>46265</v>
      </c>
      <c r="C314" s="72">
        <v>31</v>
      </c>
      <c r="D314" s="72" t="s">
        <v>98</v>
      </c>
      <c r="E314" s="73" t="s">
        <v>35</v>
      </c>
      <c r="F314" s="73" t="s">
        <v>49</v>
      </c>
      <c r="G314" s="72" t="s">
        <v>49</v>
      </c>
      <c r="H314" s="47">
        <f>IF('Lançamento Diário'!AG19="","",'Lançamento Diário'!AG19)</f>
        <v>4</v>
      </c>
    </row>
    <row r="315" spans="2:8" x14ac:dyDescent="0.25">
      <c r="B315" s="71">
        <v>46235</v>
      </c>
      <c r="C315" s="72">
        <v>1</v>
      </c>
      <c r="D315" s="72" t="s">
        <v>96</v>
      </c>
      <c r="E315" s="73" t="s">
        <v>36</v>
      </c>
      <c r="F315" s="73" t="s">
        <v>45</v>
      </c>
      <c r="G315" s="72" t="s">
        <v>84</v>
      </c>
      <c r="H315" s="47">
        <f>IF('Lançamento Diário'!C23="","",'Lançamento Diário'!C23)</f>
        <v>7</v>
      </c>
    </row>
    <row r="316" spans="2:8" x14ac:dyDescent="0.25">
      <c r="B316" s="71">
        <v>46236</v>
      </c>
      <c r="C316" s="72">
        <v>2</v>
      </c>
      <c r="D316" s="72" t="s">
        <v>97</v>
      </c>
      <c r="E316" s="73" t="s">
        <v>36</v>
      </c>
      <c r="F316" s="73" t="s">
        <v>45</v>
      </c>
      <c r="G316" s="72" t="s">
        <v>84</v>
      </c>
      <c r="H316" s="47">
        <f>IF('Lançamento Diário'!D23="","",'Lançamento Diário'!D23)</f>
        <v>4</v>
      </c>
    </row>
    <row r="317" spans="2:8" x14ac:dyDescent="0.25">
      <c r="B317" s="71">
        <v>46237</v>
      </c>
      <c r="C317" s="72">
        <v>3</v>
      </c>
      <c r="D317" s="72" t="s">
        <v>98</v>
      </c>
      <c r="E317" s="73" t="s">
        <v>36</v>
      </c>
      <c r="F317" s="73" t="s">
        <v>45</v>
      </c>
      <c r="G317" s="72" t="s">
        <v>84</v>
      </c>
      <c r="H317" s="47">
        <f>IF('Lançamento Diário'!E23="","",'Lançamento Diário'!E23)</f>
        <v>4</v>
      </c>
    </row>
    <row r="318" spans="2:8" x14ac:dyDescent="0.25">
      <c r="B318" s="71">
        <v>46238</v>
      </c>
      <c r="C318" s="72">
        <v>4</v>
      </c>
      <c r="D318" s="72" t="s">
        <v>99</v>
      </c>
      <c r="E318" s="73" t="s">
        <v>36</v>
      </c>
      <c r="F318" s="73" t="s">
        <v>45</v>
      </c>
      <c r="G318" s="72" t="s">
        <v>84</v>
      </c>
      <c r="H318" s="47">
        <f>IF('Lançamento Diário'!F23="","",'Lançamento Diário'!F23)</f>
        <v>6</v>
      </c>
    </row>
    <row r="319" spans="2:8" x14ac:dyDescent="0.25">
      <c r="B319" s="71">
        <v>46239</v>
      </c>
      <c r="C319" s="72">
        <v>5</v>
      </c>
      <c r="D319" s="72" t="s">
        <v>100</v>
      </c>
      <c r="E319" s="73" t="s">
        <v>36</v>
      </c>
      <c r="F319" s="73" t="s">
        <v>45</v>
      </c>
      <c r="G319" s="72" t="s">
        <v>84</v>
      </c>
      <c r="H319" s="47">
        <f>IF('Lançamento Diário'!G23="","",'Lançamento Diário'!G23)</f>
        <v>7</v>
      </c>
    </row>
    <row r="320" spans="2:8" x14ac:dyDescent="0.25">
      <c r="B320" s="71">
        <v>46240</v>
      </c>
      <c r="C320" s="72">
        <v>6</v>
      </c>
      <c r="D320" s="72" t="s">
        <v>101</v>
      </c>
      <c r="E320" s="73" t="s">
        <v>36</v>
      </c>
      <c r="F320" s="73" t="s">
        <v>45</v>
      </c>
      <c r="G320" s="72" t="s">
        <v>84</v>
      </c>
      <c r="H320" s="47">
        <f>IF('Lançamento Diário'!H23="","",'Lançamento Diário'!H23)</f>
        <v>8</v>
      </c>
    </row>
    <row r="321" spans="2:8" x14ac:dyDescent="0.25">
      <c r="B321" s="71">
        <v>46241</v>
      </c>
      <c r="C321" s="72">
        <v>7</v>
      </c>
      <c r="D321" s="72" t="s">
        <v>102</v>
      </c>
      <c r="E321" s="73" t="s">
        <v>36</v>
      </c>
      <c r="F321" s="73" t="s">
        <v>45</v>
      </c>
      <c r="G321" s="72" t="s">
        <v>84</v>
      </c>
      <c r="H321" s="47">
        <f>IF('Lançamento Diário'!I23="","",'Lançamento Diário'!I23)</f>
        <v>6</v>
      </c>
    </row>
    <row r="322" spans="2:8" x14ac:dyDescent="0.25">
      <c r="B322" s="71">
        <v>46242</v>
      </c>
      <c r="C322" s="72">
        <v>8</v>
      </c>
      <c r="D322" s="72" t="s">
        <v>96</v>
      </c>
      <c r="E322" s="73" t="s">
        <v>36</v>
      </c>
      <c r="F322" s="73" t="s">
        <v>45</v>
      </c>
      <c r="G322" s="72" t="s">
        <v>84</v>
      </c>
      <c r="H322" s="47">
        <f>IF('Lançamento Diário'!J23="","",'Lançamento Diário'!J23)</f>
        <v>8</v>
      </c>
    </row>
    <row r="323" spans="2:8" x14ac:dyDescent="0.25">
      <c r="B323" s="71">
        <v>46243</v>
      </c>
      <c r="C323" s="72">
        <v>9</v>
      </c>
      <c r="D323" s="72" t="s">
        <v>97</v>
      </c>
      <c r="E323" s="73" t="s">
        <v>36</v>
      </c>
      <c r="F323" s="73" t="s">
        <v>45</v>
      </c>
      <c r="G323" s="72" t="s">
        <v>84</v>
      </c>
      <c r="H323" s="47">
        <f>IF('Lançamento Diário'!K23="","",'Lançamento Diário'!K23)</f>
        <v>0</v>
      </c>
    </row>
    <row r="324" spans="2:8" x14ac:dyDescent="0.25">
      <c r="B324" s="71">
        <v>46244</v>
      </c>
      <c r="C324" s="72">
        <v>10</v>
      </c>
      <c r="D324" s="72" t="s">
        <v>98</v>
      </c>
      <c r="E324" s="73" t="s">
        <v>36</v>
      </c>
      <c r="F324" s="73" t="s">
        <v>45</v>
      </c>
      <c r="G324" s="72" t="s">
        <v>84</v>
      </c>
      <c r="H324" s="47">
        <f>IF('Lançamento Diário'!L23="","",'Lançamento Diário'!L23)</f>
        <v>6</v>
      </c>
    </row>
    <row r="325" spans="2:8" x14ac:dyDescent="0.25">
      <c r="B325" s="71">
        <v>46245</v>
      </c>
      <c r="C325" s="72">
        <v>11</v>
      </c>
      <c r="D325" s="72" t="s">
        <v>99</v>
      </c>
      <c r="E325" s="73" t="s">
        <v>36</v>
      </c>
      <c r="F325" s="73" t="s">
        <v>45</v>
      </c>
      <c r="G325" s="72" t="s">
        <v>84</v>
      </c>
      <c r="H325" s="47">
        <f>IF('Lançamento Diário'!M23="","",'Lançamento Diário'!M23)</f>
        <v>10</v>
      </c>
    </row>
    <row r="326" spans="2:8" x14ac:dyDescent="0.25">
      <c r="B326" s="71">
        <v>46246</v>
      </c>
      <c r="C326" s="72">
        <v>12</v>
      </c>
      <c r="D326" s="72" t="s">
        <v>100</v>
      </c>
      <c r="E326" s="73" t="s">
        <v>36</v>
      </c>
      <c r="F326" s="73" t="s">
        <v>45</v>
      </c>
      <c r="G326" s="72" t="s">
        <v>84</v>
      </c>
      <c r="H326" s="47">
        <f>IF('Lançamento Diário'!N23="","",'Lançamento Diário'!N23)</f>
        <v>12</v>
      </c>
    </row>
    <row r="327" spans="2:8" x14ac:dyDescent="0.25">
      <c r="B327" s="71">
        <v>46247</v>
      </c>
      <c r="C327" s="72">
        <v>13</v>
      </c>
      <c r="D327" s="72" t="s">
        <v>101</v>
      </c>
      <c r="E327" s="73" t="s">
        <v>36</v>
      </c>
      <c r="F327" s="73" t="s">
        <v>45</v>
      </c>
      <c r="G327" s="72" t="s">
        <v>84</v>
      </c>
      <c r="H327" s="47">
        <f>IF('Lançamento Diário'!O23="","",'Lançamento Diário'!O23)</f>
        <v>11</v>
      </c>
    </row>
    <row r="328" spans="2:8" x14ac:dyDescent="0.25">
      <c r="B328" s="71">
        <v>46248</v>
      </c>
      <c r="C328" s="72">
        <v>14</v>
      </c>
      <c r="D328" s="72" t="s">
        <v>102</v>
      </c>
      <c r="E328" s="73" t="s">
        <v>36</v>
      </c>
      <c r="F328" s="73" t="s">
        <v>45</v>
      </c>
      <c r="G328" s="72" t="s">
        <v>84</v>
      </c>
      <c r="H328" s="47">
        <f>IF('Lançamento Diário'!P23="","",'Lançamento Diário'!P23)</f>
        <v>7</v>
      </c>
    </row>
    <row r="329" spans="2:8" x14ac:dyDescent="0.25">
      <c r="B329" s="71">
        <v>46249</v>
      </c>
      <c r="C329" s="72">
        <v>15</v>
      </c>
      <c r="D329" s="72" t="s">
        <v>96</v>
      </c>
      <c r="E329" s="73" t="s">
        <v>36</v>
      </c>
      <c r="F329" s="73" t="s">
        <v>45</v>
      </c>
      <c r="G329" s="72" t="s">
        <v>84</v>
      </c>
      <c r="H329" s="47">
        <f>IF('Lançamento Diário'!Q23="","",'Lançamento Diário'!Q23)</f>
        <v>7</v>
      </c>
    </row>
    <row r="330" spans="2:8" x14ac:dyDescent="0.25">
      <c r="B330" s="71">
        <v>46250</v>
      </c>
      <c r="C330" s="72">
        <v>16</v>
      </c>
      <c r="D330" s="72" t="s">
        <v>97</v>
      </c>
      <c r="E330" s="73" t="s">
        <v>36</v>
      </c>
      <c r="F330" s="73" t="s">
        <v>45</v>
      </c>
      <c r="G330" s="72" t="s">
        <v>84</v>
      </c>
      <c r="H330" s="47">
        <f>IF('Lançamento Diário'!R23="","",'Lançamento Diário'!R23)</f>
        <v>0</v>
      </c>
    </row>
    <row r="331" spans="2:8" x14ac:dyDescent="0.25">
      <c r="B331" s="71">
        <v>46251</v>
      </c>
      <c r="C331" s="72">
        <v>17</v>
      </c>
      <c r="D331" s="72" t="s">
        <v>98</v>
      </c>
      <c r="E331" s="73" t="s">
        <v>36</v>
      </c>
      <c r="F331" s="73" t="s">
        <v>45</v>
      </c>
      <c r="G331" s="72" t="s">
        <v>84</v>
      </c>
      <c r="H331" s="47">
        <f>IF('Lançamento Diário'!S23="","",'Lançamento Diário'!S23)</f>
        <v>6</v>
      </c>
    </row>
    <row r="332" spans="2:8" x14ac:dyDescent="0.25">
      <c r="B332" s="71">
        <v>46252</v>
      </c>
      <c r="C332" s="72">
        <v>18</v>
      </c>
      <c r="D332" s="72" t="s">
        <v>99</v>
      </c>
      <c r="E332" s="73" t="s">
        <v>36</v>
      </c>
      <c r="F332" s="73" t="s">
        <v>45</v>
      </c>
      <c r="G332" s="72" t="s">
        <v>84</v>
      </c>
      <c r="H332" s="47">
        <f>IF('Lançamento Diário'!T23="","",'Lançamento Diário'!T23)</f>
        <v>8</v>
      </c>
    </row>
    <row r="333" spans="2:8" x14ac:dyDescent="0.25">
      <c r="B333" s="71">
        <v>46253</v>
      </c>
      <c r="C333" s="72">
        <v>19</v>
      </c>
      <c r="D333" s="72" t="s">
        <v>100</v>
      </c>
      <c r="E333" s="73" t="s">
        <v>36</v>
      </c>
      <c r="F333" s="73" t="s">
        <v>45</v>
      </c>
      <c r="G333" s="72" t="s">
        <v>84</v>
      </c>
      <c r="H333" s="47">
        <f>IF('Lançamento Diário'!U23="","",'Lançamento Diário'!U23)</f>
        <v>11</v>
      </c>
    </row>
    <row r="334" spans="2:8" x14ac:dyDescent="0.25">
      <c r="B334" s="71">
        <v>46254</v>
      </c>
      <c r="C334" s="72">
        <v>20</v>
      </c>
      <c r="D334" s="72" t="s">
        <v>101</v>
      </c>
      <c r="E334" s="73" t="s">
        <v>36</v>
      </c>
      <c r="F334" s="73" t="s">
        <v>45</v>
      </c>
      <c r="G334" s="72" t="s">
        <v>84</v>
      </c>
      <c r="H334" s="47">
        <f>IF('Lançamento Diário'!V23="","",'Lançamento Diário'!V23)</f>
        <v>15</v>
      </c>
    </row>
    <row r="335" spans="2:8" x14ac:dyDescent="0.25">
      <c r="B335" s="71">
        <v>46255</v>
      </c>
      <c r="C335" s="72">
        <v>21</v>
      </c>
      <c r="D335" s="72" t="s">
        <v>102</v>
      </c>
      <c r="E335" s="73" t="s">
        <v>36</v>
      </c>
      <c r="F335" s="73" t="s">
        <v>45</v>
      </c>
      <c r="G335" s="72" t="s">
        <v>84</v>
      </c>
      <c r="H335" s="47">
        <f>IF('Lançamento Diário'!W23="","",'Lançamento Diário'!W23)</f>
        <v>7</v>
      </c>
    </row>
    <row r="336" spans="2:8" x14ac:dyDescent="0.25">
      <c r="B336" s="71">
        <v>46256</v>
      </c>
      <c r="C336" s="72">
        <v>22</v>
      </c>
      <c r="D336" s="72" t="s">
        <v>96</v>
      </c>
      <c r="E336" s="73" t="s">
        <v>36</v>
      </c>
      <c r="F336" s="73" t="s">
        <v>45</v>
      </c>
      <c r="G336" s="72" t="s">
        <v>84</v>
      </c>
      <c r="H336" s="47">
        <f>IF('Lançamento Diário'!X23="","",'Lançamento Diário'!X23)</f>
        <v>3</v>
      </c>
    </row>
    <row r="337" spans="2:8" x14ac:dyDescent="0.25">
      <c r="B337" s="71">
        <v>46257</v>
      </c>
      <c r="C337" s="72">
        <v>23</v>
      </c>
      <c r="D337" s="72" t="s">
        <v>97</v>
      </c>
      <c r="E337" s="73" t="s">
        <v>36</v>
      </c>
      <c r="F337" s="73" t="s">
        <v>45</v>
      </c>
      <c r="G337" s="72" t="s">
        <v>84</v>
      </c>
      <c r="H337" s="47">
        <f>IF('Lançamento Diário'!Y23="","",'Lançamento Diário'!Y23)</f>
        <v>0</v>
      </c>
    </row>
    <row r="338" spans="2:8" x14ac:dyDescent="0.25">
      <c r="B338" s="71">
        <v>46258</v>
      </c>
      <c r="C338" s="72">
        <v>24</v>
      </c>
      <c r="D338" s="72" t="s">
        <v>98</v>
      </c>
      <c r="E338" s="73" t="s">
        <v>36</v>
      </c>
      <c r="F338" s="73" t="s">
        <v>45</v>
      </c>
      <c r="G338" s="72" t="s">
        <v>84</v>
      </c>
      <c r="H338" s="47">
        <f>IF('Lançamento Diário'!Z23="","",'Lançamento Diário'!Z23)</f>
        <v>3</v>
      </c>
    </row>
    <row r="339" spans="2:8" x14ac:dyDescent="0.25">
      <c r="B339" s="71">
        <v>46259</v>
      </c>
      <c r="C339" s="72">
        <v>25</v>
      </c>
      <c r="D339" s="72" t="s">
        <v>99</v>
      </c>
      <c r="E339" s="73" t="s">
        <v>36</v>
      </c>
      <c r="F339" s="73" t="s">
        <v>45</v>
      </c>
      <c r="G339" s="72" t="s">
        <v>84</v>
      </c>
      <c r="H339" s="47">
        <f>IF('Lançamento Diário'!AA23="","",'Lançamento Diário'!AA23)</f>
        <v>10</v>
      </c>
    </row>
    <row r="340" spans="2:8" x14ac:dyDescent="0.25">
      <c r="B340" s="71">
        <v>46260</v>
      </c>
      <c r="C340" s="72">
        <v>26</v>
      </c>
      <c r="D340" s="72" t="s">
        <v>100</v>
      </c>
      <c r="E340" s="73" t="s">
        <v>36</v>
      </c>
      <c r="F340" s="73" t="s">
        <v>45</v>
      </c>
      <c r="G340" s="72" t="s">
        <v>84</v>
      </c>
      <c r="H340" s="47">
        <f>IF('Lançamento Diário'!AB23="","",'Lançamento Diário'!AB23)</f>
        <v>14</v>
      </c>
    </row>
    <row r="341" spans="2:8" x14ac:dyDescent="0.25">
      <c r="B341" s="71">
        <v>46261</v>
      </c>
      <c r="C341" s="72">
        <v>27</v>
      </c>
      <c r="D341" s="72" t="s">
        <v>101</v>
      </c>
      <c r="E341" s="73" t="s">
        <v>36</v>
      </c>
      <c r="F341" s="73" t="s">
        <v>45</v>
      </c>
      <c r="G341" s="72" t="s">
        <v>84</v>
      </c>
      <c r="H341" s="47">
        <f>IF('Lançamento Diário'!AC23="","",'Lançamento Diário'!AC23)</f>
        <v>9</v>
      </c>
    </row>
    <row r="342" spans="2:8" x14ac:dyDescent="0.25">
      <c r="B342" s="71">
        <v>46262</v>
      </c>
      <c r="C342" s="72">
        <v>28</v>
      </c>
      <c r="D342" s="72" t="s">
        <v>102</v>
      </c>
      <c r="E342" s="73" t="s">
        <v>36</v>
      </c>
      <c r="F342" s="73" t="s">
        <v>45</v>
      </c>
      <c r="G342" s="72" t="s">
        <v>84</v>
      </c>
      <c r="H342" s="47">
        <f>IF('Lançamento Diário'!AD23="","",'Lançamento Diário'!AD23)</f>
        <v>6</v>
      </c>
    </row>
    <row r="343" spans="2:8" x14ac:dyDescent="0.25">
      <c r="B343" s="71">
        <v>46263</v>
      </c>
      <c r="C343" s="72">
        <v>29</v>
      </c>
      <c r="D343" s="72" t="s">
        <v>96</v>
      </c>
      <c r="E343" s="73" t="s">
        <v>36</v>
      </c>
      <c r="F343" s="73" t="s">
        <v>45</v>
      </c>
      <c r="G343" s="72" t="s">
        <v>84</v>
      </c>
      <c r="H343" s="47">
        <f>IF('Lançamento Diário'!AE23="","",'Lançamento Diário'!AE23)</f>
        <v>9</v>
      </c>
    </row>
    <row r="344" spans="2:8" x14ac:dyDescent="0.25">
      <c r="B344" s="71">
        <v>46264</v>
      </c>
      <c r="C344" s="72">
        <v>30</v>
      </c>
      <c r="D344" s="72" t="s">
        <v>97</v>
      </c>
      <c r="E344" s="73" t="s">
        <v>36</v>
      </c>
      <c r="F344" s="73" t="s">
        <v>45</v>
      </c>
      <c r="G344" s="72" t="s">
        <v>84</v>
      </c>
      <c r="H344" s="47">
        <f>IF('Lançamento Diário'!AF23="","",'Lançamento Diário'!AF23)</f>
        <v>0</v>
      </c>
    </row>
    <row r="345" spans="2:8" x14ac:dyDescent="0.25">
      <c r="B345" s="71">
        <v>46265</v>
      </c>
      <c r="C345" s="72">
        <v>31</v>
      </c>
      <c r="D345" s="72" t="s">
        <v>98</v>
      </c>
      <c r="E345" s="73" t="s">
        <v>36</v>
      </c>
      <c r="F345" s="73" t="s">
        <v>45</v>
      </c>
      <c r="G345" s="72" t="s">
        <v>84</v>
      </c>
      <c r="H345" s="47">
        <f>IF('Lançamento Diário'!AG23="","",'Lançamento Diário'!AG23)</f>
        <v>9</v>
      </c>
    </row>
    <row r="346" spans="2:8" x14ac:dyDescent="0.25">
      <c r="B346" s="71">
        <v>46235</v>
      </c>
      <c r="C346" s="72">
        <v>1</v>
      </c>
      <c r="D346" s="72" t="s">
        <v>96</v>
      </c>
      <c r="E346" s="73" t="s">
        <v>36</v>
      </c>
      <c r="F346" s="73" t="s">
        <v>46</v>
      </c>
      <c r="G346" s="72" t="s">
        <v>84</v>
      </c>
      <c r="H346" s="47">
        <f>IF('Lançamento Diário'!C24="","",'Lançamento Diário'!C24)</f>
        <v>0</v>
      </c>
    </row>
    <row r="347" spans="2:8" x14ac:dyDescent="0.25">
      <c r="B347" s="71">
        <v>46236</v>
      </c>
      <c r="C347" s="72">
        <v>2</v>
      </c>
      <c r="D347" s="72" t="s">
        <v>97</v>
      </c>
      <c r="E347" s="73" t="s">
        <v>36</v>
      </c>
      <c r="F347" s="73" t="s">
        <v>46</v>
      </c>
      <c r="G347" s="72" t="s">
        <v>84</v>
      </c>
      <c r="H347" s="47">
        <f>IF('Lançamento Diário'!D24="","",'Lançamento Diário'!D24)</f>
        <v>1</v>
      </c>
    </row>
    <row r="348" spans="2:8" x14ac:dyDescent="0.25">
      <c r="B348" s="71">
        <v>46237</v>
      </c>
      <c r="C348" s="72">
        <v>3</v>
      </c>
      <c r="D348" s="72" t="s">
        <v>98</v>
      </c>
      <c r="E348" s="73" t="s">
        <v>36</v>
      </c>
      <c r="F348" s="73" t="s">
        <v>46</v>
      </c>
      <c r="G348" s="72" t="s">
        <v>84</v>
      </c>
      <c r="H348" s="47">
        <f>IF('Lançamento Diário'!E24="","",'Lançamento Diário'!E24)</f>
        <v>0</v>
      </c>
    </row>
    <row r="349" spans="2:8" x14ac:dyDescent="0.25">
      <c r="B349" s="71">
        <v>46238</v>
      </c>
      <c r="C349" s="72">
        <v>4</v>
      </c>
      <c r="D349" s="72" t="s">
        <v>99</v>
      </c>
      <c r="E349" s="73" t="s">
        <v>36</v>
      </c>
      <c r="F349" s="73" t="s">
        <v>46</v>
      </c>
      <c r="G349" s="72" t="s">
        <v>84</v>
      </c>
      <c r="H349" s="47">
        <f>IF('Lançamento Diário'!F24="","",'Lançamento Diário'!F24)</f>
        <v>2</v>
      </c>
    </row>
    <row r="350" spans="2:8" x14ac:dyDescent="0.25">
      <c r="B350" s="71">
        <v>46239</v>
      </c>
      <c r="C350" s="72">
        <v>5</v>
      </c>
      <c r="D350" s="72" t="s">
        <v>100</v>
      </c>
      <c r="E350" s="73" t="s">
        <v>36</v>
      </c>
      <c r="F350" s="73" t="s">
        <v>46</v>
      </c>
      <c r="G350" s="72" t="s">
        <v>84</v>
      </c>
      <c r="H350" s="47">
        <f>IF('Lançamento Diário'!G24="","",'Lançamento Diário'!G24)</f>
        <v>3</v>
      </c>
    </row>
    <row r="351" spans="2:8" x14ac:dyDescent="0.25">
      <c r="B351" s="71">
        <v>46240</v>
      </c>
      <c r="C351" s="72">
        <v>6</v>
      </c>
      <c r="D351" s="72" t="s">
        <v>101</v>
      </c>
      <c r="E351" s="73" t="s">
        <v>36</v>
      </c>
      <c r="F351" s="73" t="s">
        <v>46</v>
      </c>
      <c r="G351" s="72" t="s">
        <v>84</v>
      </c>
      <c r="H351" s="47">
        <f>IF('Lançamento Diário'!H24="","",'Lançamento Diário'!H24)</f>
        <v>2</v>
      </c>
    </row>
    <row r="352" spans="2:8" x14ac:dyDescent="0.25">
      <c r="B352" s="71">
        <v>46241</v>
      </c>
      <c r="C352" s="72">
        <v>7</v>
      </c>
      <c r="D352" s="72" t="s">
        <v>102</v>
      </c>
      <c r="E352" s="73" t="s">
        <v>36</v>
      </c>
      <c r="F352" s="73" t="s">
        <v>46</v>
      </c>
      <c r="G352" s="72" t="s">
        <v>84</v>
      </c>
      <c r="H352" s="47">
        <f>IF('Lançamento Diário'!I24="","",'Lançamento Diário'!I24)</f>
        <v>2</v>
      </c>
    </row>
    <row r="353" spans="2:8" x14ac:dyDescent="0.25">
      <c r="B353" s="71">
        <v>46242</v>
      </c>
      <c r="C353" s="72">
        <v>8</v>
      </c>
      <c r="D353" s="72" t="s">
        <v>96</v>
      </c>
      <c r="E353" s="73" t="s">
        <v>36</v>
      </c>
      <c r="F353" s="73" t="s">
        <v>46</v>
      </c>
      <c r="G353" s="72" t="s">
        <v>84</v>
      </c>
      <c r="H353" s="47">
        <f>IF('Lançamento Diário'!J24="","",'Lançamento Diário'!J24)</f>
        <v>0</v>
      </c>
    </row>
    <row r="354" spans="2:8" x14ac:dyDescent="0.25">
      <c r="B354" s="71">
        <v>46243</v>
      </c>
      <c r="C354" s="72">
        <v>9</v>
      </c>
      <c r="D354" s="72" t="s">
        <v>97</v>
      </c>
      <c r="E354" s="73" t="s">
        <v>36</v>
      </c>
      <c r="F354" s="73" t="s">
        <v>46</v>
      </c>
      <c r="G354" s="72" t="s">
        <v>84</v>
      </c>
      <c r="H354" s="47">
        <f>IF('Lançamento Diário'!K24="","",'Lançamento Diário'!K24)</f>
        <v>0</v>
      </c>
    </row>
    <row r="355" spans="2:8" x14ac:dyDescent="0.25">
      <c r="B355" s="71">
        <v>46244</v>
      </c>
      <c r="C355" s="72">
        <v>10</v>
      </c>
      <c r="D355" s="72" t="s">
        <v>98</v>
      </c>
      <c r="E355" s="73" t="s">
        <v>36</v>
      </c>
      <c r="F355" s="73" t="s">
        <v>46</v>
      </c>
      <c r="G355" s="72" t="s">
        <v>84</v>
      </c>
      <c r="H355" s="47">
        <f>IF('Lançamento Diário'!L24="","",'Lançamento Diário'!L24)</f>
        <v>1</v>
      </c>
    </row>
    <row r="356" spans="2:8" x14ac:dyDescent="0.25">
      <c r="B356" s="71">
        <v>46245</v>
      </c>
      <c r="C356" s="72">
        <v>11</v>
      </c>
      <c r="D356" s="72" t="s">
        <v>99</v>
      </c>
      <c r="E356" s="73" t="s">
        <v>36</v>
      </c>
      <c r="F356" s="73" t="s">
        <v>46</v>
      </c>
      <c r="G356" s="72" t="s">
        <v>84</v>
      </c>
      <c r="H356" s="47">
        <f>IF('Lançamento Diário'!M24="","",'Lançamento Diário'!M24)</f>
        <v>3</v>
      </c>
    </row>
    <row r="357" spans="2:8" x14ac:dyDescent="0.25">
      <c r="B357" s="71">
        <v>46246</v>
      </c>
      <c r="C357" s="72">
        <v>12</v>
      </c>
      <c r="D357" s="72" t="s">
        <v>100</v>
      </c>
      <c r="E357" s="73" t="s">
        <v>36</v>
      </c>
      <c r="F357" s="73" t="s">
        <v>46</v>
      </c>
      <c r="G357" s="72" t="s">
        <v>84</v>
      </c>
      <c r="H357" s="47">
        <f>IF('Lançamento Diário'!N24="","",'Lançamento Diário'!N24)</f>
        <v>1</v>
      </c>
    </row>
    <row r="358" spans="2:8" x14ac:dyDescent="0.25">
      <c r="B358" s="71">
        <v>46247</v>
      </c>
      <c r="C358" s="72">
        <v>13</v>
      </c>
      <c r="D358" s="72" t="s">
        <v>101</v>
      </c>
      <c r="E358" s="73" t="s">
        <v>36</v>
      </c>
      <c r="F358" s="73" t="s">
        <v>46</v>
      </c>
      <c r="G358" s="72" t="s">
        <v>84</v>
      </c>
      <c r="H358" s="47">
        <f>IF('Lançamento Diário'!O24="","",'Lançamento Diário'!O24)</f>
        <v>4</v>
      </c>
    </row>
    <row r="359" spans="2:8" x14ac:dyDescent="0.25">
      <c r="B359" s="71">
        <v>46248</v>
      </c>
      <c r="C359" s="72">
        <v>14</v>
      </c>
      <c r="D359" s="72" t="s">
        <v>102</v>
      </c>
      <c r="E359" s="73" t="s">
        <v>36</v>
      </c>
      <c r="F359" s="73" t="s">
        <v>46</v>
      </c>
      <c r="G359" s="72" t="s">
        <v>84</v>
      </c>
      <c r="H359" s="47">
        <f>IF('Lançamento Diário'!P24="","",'Lançamento Diário'!P24)</f>
        <v>0</v>
      </c>
    </row>
    <row r="360" spans="2:8" x14ac:dyDescent="0.25">
      <c r="B360" s="71">
        <v>46249</v>
      </c>
      <c r="C360" s="72">
        <v>15</v>
      </c>
      <c r="D360" s="72" t="s">
        <v>96</v>
      </c>
      <c r="E360" s="73" t="s">
        <v>36</v>
      </c>
      <c r="F360" s="73" t="s">
        <v>46</v>
      </c>
      <c r="G360" s="72" t="s">
        <v>84</v>
      </c>
      <c r="H360" s="47">
        <f>IF('Lançamento Diário'!Q24="","",'Lançamento Diário'!Q24)</f>
        <v>2</v>
      </c>
    </row>
    <row r="361" spans="2:8" x14ac:dyDescent="0.25">
      <c r="B361" s="71">
        <v>46250</v>
      </c>
      <c r="C361" s="72">
        <v>16</v>
      </c>
      <c r="D361" s="72" t="s">
        <v>97</v>
      </c>
      <c r="E361" s="73" t="s">
        <v>36</v>
      </c>
      <c r="F361" s="73" t="s">
        <v>46</v>
      </c>
      <c r="G361" s="72" t="s">
        <v>84</v>
      </c>
      <c r="H361" s="47">
        <f>IF('Lançamento Diário'!R24="","",'Lançamento Diário'!R24)</f>
        <v>0</v>
      </c>
    </row>
    <row r="362" spans="2:8" x14ac:dyDescent="0.25">
      <c r="B362" s="71">
        <v>46251</v>
      </c>
      <c r="C362" s="72">
        <v>17</v>
      </c>
      <c r="D362" s="72" t="s">
        <v>98</v>
      </c>
      <c r="E362" s="73" t="s">
        <v>36</v>
      </c>
      <c r="F362" s="73" t="s">
        <v>46</v>
      </c>
      <c r="G362" s="72" t="s">
        <v>84</v>
      </c>
      <c r="H362" s="47">
        <f>IF('Lançamento Diário'!S24="","",'Lançamento Diário'!S24)</f>
        <v>2</v>
      </c>
    </row>
    <row r="363" spans="2:8" x14ac:dyDescent="0.25">
      <c r="B363" s="71">
        <v>46252</v>
      </c>
      <c r="C363" s="72">
        <v>18</v>
      </c>
      <c r="D363" s="72" t="s">
        <v>99</v>
      </c>
      <c r="E363" s="73" t="s">
        <v>36</v>
      </c>
      <c r="F363" s="73" t="s">
        <v>46</v>
      </c>
      <c r="G363" s="72" t="s">
        <v>84</v>
      </c>
      <c r="H363" s="47">
        <f>IF('Lançamento Diário'!T24="","",'Lançamento Diário'!T24)</f>
        <v>2</v>
      </c>
    </row>
    <row r="364" spans="2:8" x14ac:dyDescent="0.25">
      <c r="B364" s="71">
        <v>46253</v>
      </c>
      <c r="C364" s="72">
        <v>19</v>
      </c>
      <c r="D364" s="72" t="s">
        <v>100</v>
      </c>
      <c r="E364" s="73" t="s">
        <v>36</v>
      </c>
      <c r="F364" s="73" t="s">
        <v>46</v>
      </c>
      <c r="G364" s="72" t="s">
        <v>84</v>
      </c>
      <c r="H364" s="47">
        <f>IF('Lançamento Diário'!U24="","",'Lançamento Diário'!U24)</f>
        <v>1</v>
      </c>
    </row>
    <row r="365" spans="2:8" x14ac:dyDescent="0.25">
      <c r="B365" s="71">
        <v>46254</v>
      </c>
      <c r="C365" s="72">
        <v>20</v>
      </c>
      <c r="D365" s="72" t="s">
        <v>101</v>
      </c>
      <c r="E365" s="73" t="s">
        <v>36</v>
      </c>
      <c r="F365" s="73" t="s">
        <v>46</v>
      </c>
      <c r="G365" s="72" t="s">
        <v>84</v>
      </c>
      <c r="H365" s="47">
        <f>IF('Lançamento Diário'!V24="","",'Lançamento Diário'!V24)</f>
        <v>1</v>
      </c>
    </row>
    <row r="366" spans="2:8" x14ac:dyDescent="0.25">
      <c r="B366" s="71">
        <v>46255</v>
      </c>
      <c r="C366" s="72">
        <v>21</v>
      </c>
      <c r="D366" s="72" t="s">
        <v>102</v>
      </c>
      <c r="E366" s="73" t="s">
        <v>36</v>
      </c>
      <c r="F366" s="73" t="s">
        <v>46</v>
      </c>
      <c r="G366" s="72" t="s">
        <v>84</v>
      </c>
      <c r="H366" s="47">
        <f>IF('Lançamento Diário'!W24="","",'Lançamento Diário'!W24)</f>
        <v>0</v>
      </c>
    </row>
    <row r="367" spans="2:8" x14ac:dyDescent="0.25">
      <c r="B367" s="71">
        <v>46256</v>
      </c>
      <c r="C367" s="72">
        <v>22</v>
      </c>
      <c r="D367" s="72" t="s">
        <v>96</v>
      </c>
      <c r="E367" s="73" t="s">
        <v>36</v>
      </c>
      <c r="F367" s="73" t="s">
        <v>46</v>
      </c>
      <c r="G367" s="72" t="s">
        <v>84</v>
      </c>
      <c r="H367" s="47">
        <f>IF('Lançamento Diário'!X24="","",'Lançamento Diário'!X24)</f>
        <v>0</v>
      </c>
    </row>
    <row r="368" spans="2:8" x14ac:dyDescent="0.25">
      <c r="B368" s="71">
        <v>46257</v>
      </c>
      <c r="C368" s="72">
        <v>23</v>
      </c>
      <c r="D368" s="72" t="s">
        <v>97</v>
      </c>
      <c r="E368" s="73" t="s">
        <v>36</v>
      </c>
      <c r="F368" s="73" t="s">
        <v>46</v>
      </c>
      <c r="G368" s="72" t="s">
        <v>84</v>
      </c>
      <c r="H368" s="47">
        <f>IF('Lançamento Diário'!Y24="","",'Lançamento Diário'!Y24)</f>
        <v>0</v>
      </c>
    </row>
    <row r="369" spans="2:8" x14ac:dyDescent="0.25">
      <c r="B369" s="71">
        <v>46258</v>
      </c>
      <c r="C369" s="72">
        <v>24</v>
      </c>
      <c r="D369" s="72" t="s">
        <v>98</v>
      </c>
      <c r="E369" s="73" t="s">
        <v>36</v>
      </c>
      <c r="F369" s="73" t="s">
        <v>46</v>
      </c>
      <c r="G369" s="72" t="s">
        <v>84</v>
      </c>
      <c r="H369" s="47">
        <f>IF('Lançamento Diário'!Z24="","",'Lançamento Diário'!Z24)</f>
        <v>2</v>
      </c>
    </row>
    <row r="370" spans="2:8" x14ac:dyDescent="0.25">
      <c r="B370" s="71">
        <v>46259</v>
      </c>
      <c r="C370" s="72">
        <v>25</v>
      </c>
      <c r="D370" s="72" t="s">
        <v>99</v>
      </c>
      <c r="E370" s="73" t="s">
        <v>36</v>
      </c>
      <c r="F370" s="73" t="s">
        <v>46</v>
      </c>
      <c r="G370" s="72" t="s">
        <v>84</v>
      </c>
      <c r="H370" s="47">
        <f>IF('Lançamento Diário'!AA24="","",'Lançamento Diário'!AA24)</f>
        <v>2</v>
      </c>
    </row>
    <row r="371" spans="2:8" x14ac:dyDescent="0.25">
      <c r="B371" s="71">
        <v>46260</v>
      </c>
      <c r="C371" s="72">
        <v>26</v>
      </c>
      <c r="D371" s="72" t="s">
        <v>100</v>
      </c>
      <c r="E371" s="73" t="s">
        <v>36</v>
      </c>
      <c r="F371" s="73" t="s">
        <v>46</v>
      </c>
      <c r="G371" s="72" t="s">
        <v>84</v>
      </c>
      <c r="H371" s="47">
        <f>IF('Lançamento Diário'!AB24="","",'Lançamento Diário'!AB24)</f>
        <v>1</v>
      </c>
    </row>
    <row r="372" spans="2:8" x14ac:dyDescent="0.25">
      <c r="B372" s="71">
        <v>46261</v>
      </c>
      <c r="C372" s="72">
        <v>27</v>
      </c>
      <c r="D372" s="72" t="s">
        <v>101</v>
      </c>
      <c r="E372" s="73" t="s">
        <v>36</v>
      </c>
      <c r="F372" s="73" t="s">
        <v>46</v>
      </c>
      <c r="G372" s="72" t="s">
        <v>84</v>
      </c>
      <c r="H372" s="47">
        <f>IF('Lançamento Diário'!AC24="","",'Lançamento Diário'!AC24)</f>
        <v>1</v>
      </c>
    </row>
    <row r="373" spans="2:8" x14ac:dyDescent="0.25">
      <c r="B373" s="71">
        <v>46262</v>
      </c>
      <c r="C373" s="72">
        <v>28</v>
      </c>
      <c r="D373" s="72" t="s">
        <v>102</v>
      </c>
      <c r="E373" s="73" t="s">
        <v>36</v>
      </c>
      <c r="F373" s="73" t="s">
        <v>46</v>
      </c>
      <c r="G373" s="72" t="s">
        <v>84</v>
      </c>
      <c r="H373" s="47">
        <f>IF('Lançamento Diário'!AD24="","",'Lançamento Diário'!AD24)</f>
        <v>0</v>
      </c>
    </row>
    <row r="374" spans="2:8" x14ac:dyDescent="0.25">
      <c r="B374" s="71">
        <v>46263</v>
      </c>
      <c r="C374" s="72">
        <v>29</v>
      </c>
      <c r="D374" s="72" t="s">
        <v>96</v>
      </c>
      <c r="E374" s="73" t="s">
        <v>36</v>
      </c>
      <c r="F374" s="73" t="s">
        <v>46</v>
      </c>
      <c r="G374" s="72" t="s">
        <v>84</v>
      </c>
      <c r="H374" s="47">
        <f>IF('Lançamento Diário'!AE24="","",'Lançamento Diário'!AE24)</f>
        <v>2</v>
      </c>
    </row>
    <row r="375" spans="2:8" x14ac:dyDescent="0.25">
      <c r="B375" s="71">
        <v>46264</v>
      </c>
      <c r="C375" s="72">
        <v>30</v>
      </c>
      <c r="D375" s="72" t="s">
        <v>97</v>
      </c>
      <c r="E375" s="73" t="s">
        <v>36</v>
      </c>
      <c r="F375" s="73" t="s">
        <v>46</v>
      </c>
      <c r="G375" s="72" t="s">
        <v>84</v>
      </c>
      <c r="H375" s="47">
        <f>IF('Lançamento Diário'!AF24="","",'Lançamento Diário'!AF24)</f>
        <v>0</v>
      </c>
    </row>
    <row r="376" spans="2:8" x14ac:dyDescent="0.25">
      <c r="B376" s="71">
        <v>46265</v>
      </c>
      <c r="C376" s="72">
        <v>31</v>
      </c>
      <c r="D376" s="72" t="s">
        <v>98</v>
      </c>
      <c r="E376" s="73" t="s">
        <v>36</v>
      </c>
      <c r="F376" s="73" t="s">
        <v>46</v>
      </c>
      <c r="G376" s="72" t="s">
        <v>84</v>
      </c>
      <c r="H376" s="47">
        <f>IF('Lançamento Diário'!AG24="","",'Lançamento Diário'!AG24)</f>
        <v>2</v>
      </c>
    </row>
    <row r="377" spans="2:8" x14ac:dyDescent="0.25">
      <c r="B377" s="71">
        <v>46235</v>
      </c>
      <c r="C377" s="72">
        <v>1</v>
      </c>
      <c r="D377" s="72" t="s">
        <v>96</v>
      </c>
      <c r="E377" s="73" t="s">
        <v>36</v>
      </c>
      <c r="F377" s="73" t="s">
        <v>47</v>
      </c>
      <c r="G377" s="72" t="s">
        <v>85</v>
      </c>
      <c r="H377" s="47" t="str">
        <f>IF('Lançamento Diário'!C25="","",'Lançamento Diário'!C25)</f>
        <v/>
      </c>
    </row>
    <row r="378" spans="2:8" x14ac:dyDescent="0.25">
      <c r="B378" s="71">
        <v>46236</v>
      </c>
      <c r="C378" s="72">
        <v>2</v>
      </c>
      <c r="D378" s="72" t="s">
        <v>97</v>
      </c>
      <c r="E378" s="73" t="s">
        <v>36</v>
      </c>
      <c r="F378" s="73" t="s">
        <v>47</v>
      </c>
      <c r="G378" s="72" t="s">
        <v>85</v>
      </c>
      <c r="H378" s="47" t="str">
        <f>IF('Lançamento Diário'!D25="","",'Lançamento Diário'!D25)</f>
        <v/>
      </c>
    </row>
    <row r="379" spans="2:8" x14ac:dyDescent="0.25">
      <c r="B379" s="71">
        <v>46237</v>
      </c>
      <c r="C379" s="72">
        <v>3</v>
      </c>
      <c r="D379" s="72" t="s">
        <v>98</v>
      </c>
      <c r="E379" s="73" t="s">
        <v>36</v>
      </c>
      <c r="F379" s="73" t="s">
        <v>47</v>
      </c>
      <c r="G379" s="72" t="s">
        <v>85</v>
      </c>
      <c r="H379" s="47">
        <f>IF('Lançamento Diário'!E25="","",'Lançamento Diário'!E25)</f>
        <v>0</v>
      </c>
    </row>
    <row r="380" spans="2:8" x14ac:dyDescent="0.25">
      <c r="B380" s="71">
        <v>46238</v>
      </c>
      <c r="C380" s="72">
        <v>4</v>
      </c>
      <c r="D380" s="72" t="s">
        <v>99</v>
      </c>
      <c r="E380" s="73" t="s">
        <v>36</v>
      </c>
      <c r="F380" s="73" t="s">
        <v>47</v>
      </c>
      <c r="G380" s="72" t="s">
        <v>85</v>
      </c>
      <c r="H380" s="47">
        <f>IF('Lançamento Diário'!F25="","",'Lançamento Diário'!F25)</f>
        <v>1</v>
      </c>
    </row>
    <row r="381" spans="2:8" x14ac:dyDescent="0.25">
      <c r="B381" s="71">
        <v>46239</v>
      </c>
      <c r="C381" s="72">
        <v>5</v>
      </c>
      <c r="D381" s="72" t="s">
        <v>100</v>
      </c>
      <c r="E381" s="73" t="s">
        <v>36</v>
      </c>
      <c r="F381" s="73" t="s">
        <v>47</v>
      </c>
      <c r="G381" s="72" t="s">
        <v>85</v>
      </c>
      <c r="H381" s="47">
        <f>IF('Lançamento Diário'!G25="","",'Lançamento Diário'!G25)</f>
        <v>0</v>
      </c>
    </row>
    <row r="382" spans="2:8" x14ac:dyDescent="0.25">
      <c r="B382" s="71">
        <v>46240</v>
      </c>
      <c r="C382" s="72">
        <v>6</v>
      </c>
      <c r="D382" s="72" t="s">
        <v>101</v>
      </c>
      <c r="E382" s="73" t="s">
        <v>36</v>
      </c>
      <c r="F382" s="73" t="s">
        <v>47</v>
      </c>
      <c r="G382" s="72" t="s">
        <v>85</v>
      </c>
      <c r="H382" s="47">
        <f>IF('Lançamento Diário'!H25="","",'Lançamento Diário'!H25)</f>
        <v>0</v>
      </c>
    </row>
    <row r="383" spans="2:8" x14ac:dyDescent="0.25">
      <c r="B383" s="71">
        <v>46241</v>
      </c>
      <c r="C383" s="72">
        <v>7</v>
      </c>
      <c r="D383" s="72" t="s">
        <v>102</v>
      </c>
      <c r="E383" s="73" t="s">
        <v>36</v>
      </c>
      <c r="F383" s="73" t="s">
        <v>47</v>
      </c>
      <c r="G383" s="72" t="s">
        <v>85</v>
      </c>
      <c r="H383" s="47">
        <f>IF('Lançamento Diário'!I25="","",'Lançamento Diário'!I25)</f>
        <v>1</v>
      </c>
    </row>
    <row r="384" spans="2:8" x14ac:dyDescent="0.25">
      <c r="B384" s="71">
        <v>46242</v>
      </c>
      <c r="C384" s="72">
        <v>8</v>
      </c>
      <c r="D384" s="72" t="s">
        <v>96</v>
      </c>
      <c r="E384" s="73" t="s">
        <v>36</v>
      </c>
      <c r="F384" s="73" t="s">
        <v>47</v>
      </c>
      <c r="G384" s="72" t="s">
        <v>85</v>
      </c>
      <c r="H384" s="47">
        <f>IF('Lançamento Diário'!J25="","",'Lançamento Diário'!J25)</f>
        <v>0</v>
      </c>
    </row>
    <row r="385" spans="2:8" x14ac:dyDescent="0.25">
      <c r="B385" s="71">
        <v>46243</v>
      </c>
      <c r="C385" s="72">
        <v>9</v>
      </c>
      <c r="D385" s="72" t="s">
        <v>97</v>
      </c>
      <c r="E385" s="73" t="s">
        <v>36</v>
      </c>
      <c r="F385" s="73" t="s">
        <v>47</v>
      </c>
      <c r="G385" s="72" t="s">
        <v>85</v>
      </c>
      <c r="H385" s="47">
        <f>IF('Lançamento Diário'!K25="","",'Lançamento Diário'!K25)</f>
        <v>0</v>
      </c>
    </row>
    <row r="386" spans="2:8" x14ac:dyDescent="0.25">
      <c r="B386" s="71">
        <v>46244</v>
      </c>
      <c r="C386" s="72">
        <v>10</v>
      </c>
      <c r="D386" s="72" t="s">
        <v>98</v>
      </c>
      <c r="E386" s="73" t="s">
        <v>36</v>
      </c>
      <c r="F386" s="73" t="s">
        <v>47</v>
      </c>
      <c r="G386" s="72" t="s">
        <v>85</v>
      </c>
      <c r="H386" s="47">
        <f>IF('Lançamento Diário'!L25="","",'Lançamento Diário'!L25)</f>
        <v>0</v>
      </c>
    </row>
    <row r="387" spans="2:8" x14ac:dyDescent="0.25">
      <c r="B387" s="71">
        <v>46245</v>
      </c>
      <c r="C387" s="72">
        <v>11</v>
      </c>
      <c r="D387" s="72" t="s">
        <v>99</v>
      </c>
      <c r="E387" s="73" t="s">
        <v>36</v>
      </c>
      <c r="F387" s="73" t="s">
        <v>47</v>
      </c>
      <c r="G387" s="72" t="s">
        <v>85</v>
      </c>
      <c r="H387" s="47">
        <f>IF('Lançamento Diário'!M25="","",'Lançamento Diário'!M25)</f>
        <v>0</v>
      </c>
    </row>
    <row r="388" spans="2:8" x14ac:dyDescent="0.25">
      <c r="B388" s="71">
        <v>46246</v>
      </c>
      <c r="C388" s="72">
        <v>12</v>
      </c>
      <c r="D388" s="72" t="s">
        <v>100</v>
      </c>
      <c r="E388" s="73" t="s">
        <v>36</v>
      </c>
      <c r="F388" s="73" t="s">
        <v>47</v>
      </c>
      <c r="G388" s="72" t="s">
        <v>85</v>
      </c>
      <c r="H388" s="47">
        <f>IF('Lançamento Diário'!N25="","",'Lançamento Diário'!N25)</f>
        <v>1</v>
      </c>
    </row>
    <row r="389" spans="2:8" x14ac:dyDescent="0.25">
      <c r="B389" s="71">
        <v>46247</v>
      </c>
      <c r="C389" s="72">
        <v>13</v>
      </c>
      <c r="D389" s="72" t="s">
        <v>101</v>
      </c>
      <c r="E389" s="73" t="s">
        <v>36</v>
      </c>
      <c r="F389" s="73" t="s">
        <v>47</v>
      </c>
      <c r="G389" s="72" t="s">
        <v>85</v>
      </c>
      <c r="H389" s="47">
        <f>IF('Lançamento Diário'!O25="","",'Lançamento Diário'!O25)</f>
        <v>1</v>
      </c>
    </row>
    <row r="390" spans="2:8" x14ac:dyDescent="0.25">
      <c r="B390" s="71">
        <v>46248</v>
      </c>
      <c r="C390" s="72">
        <v>14</v>
      </c>
      <c r="D390" s="72" t="s">
        <v>102</v>
      </c>
      <c r="E390" s="73" t="s">
        <v>36</v>
      </c>
      <c r="F390" s="73" t="s">
        <v>47</v>
      </c>
      <c r="G390" s="72" t="s">
        <v>85</v>
      </c>
      <c r="H390" s="47">
        <f>IF('Lançamento Diário'!P25="","",'Lançamento Diário'!P25)</f>
        <v>0</v>
      </c>
    </row>
    <row r="391" spans="2:8" x14ac:dyDescent="0.25">
      <c r="B391" s="71">
        <v>46249</v>
      </c>
      <c r="C391" s="72">
        <v>15</v>
      </c>
      <c r="D391" s="72" t="s">
        <v>96</v>
      </c>
      <c r="E391" s="73" t="s">
        <v>36</v>
      </c>
      <c r="F391" s="73" t="s">
        <v>47</v>
      </c>
      <c r="G391" s="72" t="s">
        <v>85</v>
      </c>
      <c r="H391" s="47">
        <f>IF('Lançamento Diário'!Q25="","",'Lançamento Diário'!Q25)</f>
        <v>0</v>
      </c>
    </row>
    <row r="392" spans="2:8" x14ac:dyDescent="0.25">
      <c r="B392" s="71">
        <v>46250</v>
      </c>
      <c r="C392" s="72">
        <v>16</v>
      </c>
      <c r="D392" s="72" t="s">
        <v>97</v>
      </c>
      <c r="E392" s="73" t="s">
        <v>36</v>
      </c>
      <c r="F392" s="73" t="s">
        <v>47</v>
      </c>
      <c r="G392" s="72" t="s">
        <v>85</v>
      </c>
      <c r="H392" s="47">
        <f>IF('Lançamento Diário'!R25="","",'Lançamento Diário'!R25)</f>
        <v>0</v>
      </c>
    </row>
    <row r="393" spans="2:8" x14ac:dyDescent="0.25">
      <c r="B393" s="71">
        <v>46251</v>
      </c>
      <c r="C393" s="72">
        <v>17</v>
      </c>
      <c r="D393" s="72" t="s">
        <v>98</v>
      </c>
      <c r="E393" s="73" t="s">
        <v>36</v>
      </c>
      <c r="F393" s="73" t="s">
        <v>47</v>
      </c>
      <c r="G393" s="72" t="s">
        <v>85</v>
      </c>
      <c r="H393" s="47">
        <f>IF('Lançamento Diário'!S25="","",'Lançamento Diário'!S25)</f>
        <v>1</v>
      </c>
    </row>
    <row r="394" spans="2:8" x14ac:dyDescent="0.25">
      <c r="B394" s="71">
        <v>46252</v>
      </c>
      <c r="C394" s="72">
        <v>18</v>
      </c>
      <c r="D394" s="72" t="s">
        <v>99</v>
      </c>
      <c r="E394" s="73" t="s">
        <v>36</v>
      </c>
      <c r="F394" s="73" t="s">
        <v>47</v>
      </c>
      <c r="G394" s="72" t="s">
        <v>85</v>
      </c>
      <c r="H394" s="47">
        <f>IF('Lançamento Diário'!T25="","",'Lançamento Diário'!T25)</f>
        <v>1</v>
      </c>
    </row>
    <row r="395" spans="2:8" x14ac:dyDescent="0.25">
      <c r="B395" s="71">
        <v>46253</v>
      </c>
      <c r="C395" s="72">
        <v>19</v>
      </c>
      <c r="D395" s="72" t="s">
        <v>100</v>
      </c>
      <c r="E395" s="73" t="s">
        <v>36</v>
      </c>
      <c r="F395" s="73" t="s">
        <v>47</v>
      </c>
      <c r="G395" s="72" t="s">
        <v>85</v>
      </c>
      <c r="H395" s="47">
        <f>IF('Lançamento Diário'!U25="","",'Lançamento Diário'!U25)</f>
        <v>1</v>
      </c>
    </row>
    <row r="396" spans="2:8" x14ac:dyDescent="0.25">
      <c r="B396" s="71">
        <v>46254</v>
      </c>
      <c r="C396" s="72">
        <v>20</v>
      </c>
      <c r="D396" s="72" t="s">
        <v>101</v>
      </c>
      <c r="E396" s="73" t="s">
        <v>36</v>
      </c>
      <c r="F396" s="73" t="s">
        <v>47</v>
      </c>
      <c r="G396" s="72" t="s">
        <v>85</v>
      </c>
      <c r="H396" s="47">
        <f>IF('Lançamento Diário'!V25="","",'Lançamento Diário'!V25)</f>
        <v>0</v>
      </c>
    </row>
    <row r="397" spans="2:8" x14ac:dyDescent="0.25">
      <c r="B397" s="71">
        <v>46255</v>
      </c>
      <c r="C397" s="72">
        <v>21</v>
      </c>
      <c r="D397" s="72" t="s">
        <v>102</v>
      </c>
      <c r="E397" s="73" t="s">
        <v>36</v>
      </c>
      <c r="F397" s="73" t="s">
        <v>47</v>
      </c>
      <c r="G397" s="72" t="s">
        <v>85</v>
      </c>
      <c r="H397" s="47">
        <f>IF('Lançamento Diário'!W25="","",'Lançamento Diário'!W25)</f>
        <v>0</v>
      </c>
    </row>
    <row r="398" spans="2:8" x14ac:dyDescent="0.25">
      <c r="B398" s="71">
        <v>46256</v>
      </c>
      <c r="C398" s="72">
        <v>22</v>
      </c>
      <c r="D398" s="72" t="s">
        <v>96</v>
      </c>
      <c r="E398" s="73" t="s">
        <v>36</v>
      </c>
      <c r="F398" s="73" t="s">
        <v>47</v>
      </c>
      <c r="G398" s="72" t="s">
        <v>85</v>
      </c>
      <c r="H398" s="47">
        <f>IF('Lançamento Diário'!X25="","",'Lançamento Diário'!X25)</f>
        <v>0</v>
      </c>
    </row>
    <row r="399" spans="2:8" x14ac:dyDescent="0.25">
      <c r="B399" s="71">
        <v>46257</v>
      </c>
      <c r="C399" s="72">
        <v>23</v>
      </c>
      <c r="D399" s="72" t="s">
        <v>97</v>
      </c>
      <c r="E399" s="73" t="s">
        <v>36</v>
      </c>
      <c r="F399" s="73" t="s">
        <v>47</v>
      </c>
      <c r="G399" s="72" t="s">
        <v>85</v>
      </c>
      <c r="H399" s="47">
        <f>IF('Lançamento Diário'!Y25="","",'Lançamento Diário'!Y25)</f>
        <v>0</v>
      </c>
    </row>
    <row r="400" spans="2:8" x14ac:dyDescent="0.25">
      <c r="B400" s="71">
        <v>46258</v>
      </c>
      <c r="C400" s="72">
        <v>24</v>
      </c>
      <c r="D400" s="72" t="s">
        <v>98</v>
      </c>
      <c r="E400" s="73" t="s">
        <v>36</v>
      </c>
      <c r="F400" s="73" t="s">
        <v>47</v>
      </c>
      <c r="G400" s="72" t="s">
        <v>85</v>
      </c>
      <c r="H400" s="47">
        <f>IF('Lançamento Diário'!Z25="","",'Lançamento Diário'!Z25)</f>
        <v>0</v>
      </c>
    </row>
    <row r="401" spans="2:8" x14ac:dyDescent="0.25">
      <c r="B401" s="71">
        <v>46259</v>
      </c>
      <c r="C401" s="72">
        <v>25</v>
      </c>
      <c r="D401" s="72" t="s">
        <v>99</v>
      </c>
      <c r="E401" s="73" t="s">
        <v>36</v>
      </c>
      <c r="F401" s="73" t="s">
        <v>47</v>
      </c>
      <c r="G401" s="72" t="s">
        <v>85</v>
      </c>
      <c r="H401" s="47">
        <f>IF('Lançamento Diário'!AA25="","",'Lançamento Diário'!AA25)</f>
        <v>0</v>
      </c>
    </row>
    <row r="402" spans="2:8" x14ac:dyDescent="0.25">
      <c r="B402" s="71">
        <v>46260</v>
      </c>
      <c r="C402" s="72">
        <v>26</v>
      </c>
      <c r="D402" s="72" t="s">
        <v>100</v>
      </c>
      <c r="E402" s="73" t="s">
        <v>36</v>
      </c>
      <c r="F402" s="73" t="s">
        <v>47</v>
      </c>
      <c r="G402" s="72" t="s">
        <v>85</v>
      </c>
      <c r="H402" s="47">
        <f>IF('Lançamento Diário'!AB25="","",'Lançamento Diário'!AB25)</f>
        <v>0</v>
      </c>
    </row>
    <row r="403" spans="2:8" x14ac:dyDescent="0.25">
      <c r="B403" s="71">
        <v>46261</v>
      </c>
      <c r="C403" s="72">
        <v>27</v>
      </c>
      <c r="D403" s="72" t="s">
        <v>101</v>
      </c>
      <c r="E403" s="73" t="s">
        <v>36</v>
      </c>
      <c r="F403" s="73" t="s">
        <v>47</v>
      </c>
      <c r="G403" s="72" t="s">
        <v>85</v>
      </c>
      <c r="H403" s="47">
        <f>IF('Lançamento Diário'!AC25="","",'Lançamento Diário'!AC25)</f>
        <v>0</v>
      </c>
    </row>
    <row r="404" spans="2:8" x14ac:dyDescent="0.25">
      <c r="B404" s="71">
        <v>46262</v>
      </c>
      <c r="C404" s="72">
        <v>28</v>
      </c>
      <c r="D404" s="72" t="s">
        <v>102</v>
      </c>
      <c r="E404" s="73" t="s">
        <v>36</v>
      </c>
      <c r="F404" s="73" t="s">
        <v>47</v>
      </c>
      <c r="G404" s="72" t="s">
        <v>85</v>
      </c>
      <c r="H404" s="47">
        <f>IF('Lançamento Diário'!AD25="","",'Lançamento Diário'!AD25)</f>
        <v>0</v>
      </c>
    </row>
    <row r="405" spans="2:8" x14ac:dyDescent="0.25">
      <c r="B405" s="71">
        <v>46263</v>
      </c>
      <c r="C405" s="72">
        <v>29</v>
      </c>
      <c r="D405" s="72" t="s">
        <v>96</v>
      </c>
      <c r="E405" s="73" t="s">
        <v>36</v>
      </c>
      <c r="F405" s="73" t="s">
        <v>47</v>
      </c>
      <c r="G405" s="72" t="s">
        <v>85</v>
      </c>
      <c r="H405" s="47">
        <f>IF('Lançamento Diário'!AE25="","",'Lançamento Diário'!AE25)</f>
        <v>0</v>
      </c>
    </row>
    <row r="406" spans="2:8" x14ac:dyDescent="0.25">
      <c r="B406" s="71">
        <v>46264</v>
      </c>
      <c r="C406" s="72">
        <v>30</v>
      </c>
      <c r="D406" s="72" t="s">
        <v>97</v>
      </c>
      <c r="E406" s="73" t="s">
        <v>36</v>
      </c>
      <c r="F406" s="73" t="s">
        <v>47</v>
      </c>
      <c r="G406" s="72" t="s">
        <v>85</v>
      </c>
      <c r="H406" s="47">
        <f>IF('Lançamento Diário'!AF25="","",'Lançamento Diário'!AF25)</f>
        <v>0</v>
      </c>
    </row>
    <row r="407" spans="2:8" x14ac:dyDescent="0.25">
      <c r="B407" s="71">
        <v>46265</v>
      </c>
      <c r="C407" s="72">
        <v>31</v>
      </c>
      <c r="D407" s="72" t="s">
        <v>98</v>
      </c>
      <c r="E407" s="73" t="s">
        <v>36</v>
      </c>
      <c r="F407" s="73" t="s">
        <v>47</v>
      </c>
      <c r="G407" s="72" t="s">
        <v>85</v>
      </c>
      <c r="H407" s="47">
        <f>IF('Lançamento Diário'!AG25="","",'Lançamento Diário'!AG25)</f>
        <v>0</v>
      </c>
    </row>
    <row r="408" spans="2:8" x14ac:dyDescent="0.25">
      <c r="B408" s="71">
        <v>46235</v>
      </c>
      <c r="C408" s="72">
        <v>1</v>
      </c>
      <c r="D408" s="72" t="s">
        <v>96</v>
      </c>
      <c r="E408" s="73" t="s">
        <v>36</v>
      </c>
      <c r="F408" s="73" t="s">
        <v>48</v>
      </c>
      <c r="G408" s="72" t="s">
        <v>85</v>
      </c>
      <c r="H408" s="47">
        <f>IF('Lançamento Diário'!C26="","",'Lançamento Diário'!C26)</f>
        <v>0</v>
      </c>
    </row>
    <row r="409" spans="2:8" x14ac:dyDescent="0.25">
      <c r="B409" s="71">
        <v>46236</v>
      </c>
      <c r="C409" s="72">
        <v>2</v>
      </c>
      <c r="D409" s="72" t="s">
        <v>97</v>
      </c>
      <c r="E409" s="73" t="s">
        <v>36</v>
      </c>
      <c r="F409" s="73" t="s">
        <v>48</v>
      </c>
      <c r="G409" s="72" t="s">
        <v>85</v>
      </c>
      <c r="H409" s="47">
        <f>IF('Lançamento Diário'!D26="","",'Lançamento Diário'!D26)</f>
        <v>0</v>
      </c>
    </row>
    <row r="410" spans="2:8" x14ac:dyDescent="0.25">
      <c r="B410" s="71">
        <v>46237</v>
      </c>
      <c r="C410" s="72">
        <v>3</v>
      </c>
      <c r="D410" s="72" t="s">
        <v>98</v>
      </c>
      <c r="E410" s="73" t="s">
        <v>36</v>
      </c>
      <c r="F410" s="73" t="s">
        <v>48</v>
      </c>
      <c r="G410" s="72" t="s">
        <v>85</v>
      </c>
      <c r="H410" s="47">
        <f>IF('Lançamento Diário'!E26="","",'Lançamento Diário'!E26)</f>
        <v>3</v>
      </c>
    </row>
    <row r="411" spans="2:8" x14ac:dyDescent="0.25">
      <c r="B411" s="71">
        <v>46238</v>
      </c>
      <c r="C411" s="72">
        <v>4</v>
      </c>
      <c r="D411" s="72" t="s">
        <v>99</v>
      </c>
      <c r="E411" s="73" t="s">
        <v>36</v>
      </c>
      <c r="F411" s="73" t="s">
        <v>48</v>
      </c>
      <c r="G411" s="72" t="s">
        <v>85</v>
      </c>
      <c r="H411" s="47">
        <f>IF('Lançamento Diário'!F26="","",'Lançamento Diário'!F26)</f>
        <v>3</v>
      </c>
    </row>
    <row r="412" spans="2:8" x14ac:dyDescent="0.25">
      <c r="B412" s="71">
        <v>46239</v>
      </c>
      <c r="C412" s="72">
        <v>5</v>
      </c>
      <c r="D412" s="72" t="s">
        <v>100</v>
      </c>
      <c r="E412" s="73" t="s">
        <v>36</v>
      </c>
      <c r="F412" s="73" t="s">
        <v>48</v>
      </c>
      <c r="G412" s="72" t="s">
        <v>85</v>
      </c>
      <c r="H412" s="47">
        <f>IF('Lançamento Diário'!G26="","",'Lançamento Diário'!G26)</f>
        <v>6</v>
      </c>
    </row>
    <row r="413" spans="2:8" x14ac:dyDescent="0.25">
      <c r="B413" s="71">
        <v>46240</v>
      </c>
      <c r="C413" s="72">
        <v>6</v>
      </c>
      <c r="D413" s="72" t="s">
        <v>101</v>
      </c>
      <c r="E413" s="73" t="s">
        <v>36</v>
      </c>
      <c r="F413" s="73" t="s">
        <v>48</v>
      </c>
      <c r="G413" s="72" t="s">
        <v>85</v>
      </c>
      <c r="H413" s="47">
        <f>IF('Lançamento Diário'!H26="","",'Lançamento Diário'!H26)</f>
        <v>6</v>
      </c>
    </row>
    <row r="414" spans="2:8" x14ac:dyDescent="0.25">
      <c r="B414" s="71">
        <v>46241</v>
      </c>
      <c r="C414" s="72">
        <v>7</v>
      </c>
      <c r="D414" s="72" t="s">
        <v>102</v>
      </c>
      <c r="E414" s="73" t="s">
        <v>36</v>
      </c>
      <c r="F414" s="73" t="s">
        <v>48</v>
      </c>
      <c r="G414" s="72" t="s">
        <v>85</v>
      </c>
      <c r="H414" s="47">
        <f>IF('Lançamento Diário'!I26="","",'Lançamento Diário'!I26)</f>
        <v>3</v>
      </c>
    </row>
    <row r="415" spans="2:8" x14ac:dyDescent="0.25">
      <c r="B415" s="71">
        <v>46242</v>
      </c>
      <c r="C415" s="72">
        <v>8</v>
      </c>
      <c r="D415" s="72" t="s">
        <v>96</v>
      </c>
      <c r="E415" s="73" t="s">
        <v>36</v>
      </c>
      <c r="F415" s="73" t="s">
        <v>48</v>
      </c>
      <c r="G415" s="72" t="s">
        <v>85</v>
      </c>
      <c r="H415" s="47">
        <f>IF('Lançamento Diário'!J26="","",'Lançamento Diário'!J26)</f>
        <v>2</v>
      </c>
    </row>
    <row r="416" spans="2:8" x14ac:dyDescent="0.25">
      <c r="B416" s="71">
        <v>46243</v>
      </c>
      <c r="C416" s="72">
        <v>9</v>
      </c>
      <c r="D416" s="72" t="s">
        <v>97</v>
      </c>
      <c r="E416" s="73" t="s">
        <v>36</v>
      </c>
      <c r="F416" s="73" t="s">
        <v>48</v>
      </c>
      <c r="G416" s="72" t="s">
        <v>85</v>
      </c>
      <c r="H416" s="47">
        <f>IF('Lançamento Diário'!K26="","",'Lançamento Diário'!K26)</f>
        <v>0</v>
      </c>
    </row>
    <row r="417" spans="2:8" x14ac:dyDescent="0.25">
      <c r="B417" s="71">
        <v>46244</v>
      </c>
      <c r="C417" s="72">
        <v>10</v>
      </c>
      <c r="D417" s="72" t="s">
        <v>98</v>
      </c>
      <c r="E417" s="73" t="s">
        <v>36</v>
      </c>
      <c r="F417" s="73" t="s">
        <v>48</v>
      </c>
      <c r="G417" s="72" t="s">
        <v>85</v>
      </c>
      <c r="H417" s="47">
        <f>IF('Lançamento Diário'!L26="","",'Lançamento Diário'!L26)</f>
        <v>4</v>
      </c>
    </row>
    <row r="418" spans="2:8" x14ac:dyDescent="0.25">
      <c r="B418" s="71">
        <v>46245</v>
      </c>
      <c r="C418" s="72">
        <v>11</v>
      </c>
      <c r="D418" s="72" t="s">
        <v>99</v>
      </c>
      <c r="E418" s="73" t="s">
        <v>36</v>
      </c>
      <c r="F418" s="73" t="s">
        <v>48</v>
      </c>
      <c r="G418" s="72" t="s">
        <v>85</v>
      </c>
      <c r="H418" s="47">
        <f>IF('Lançamento Diário'!M26="","",'Lançamento Diário'!M26)</f>
        <v>4</v>
      </c>
    </row>
    <row r="419" spans="2:8" x14ac:dyDescent="0.25">
      <c r="B419" s="71">
        <v>46246</v>
      </c>
      <c r="C419" s="72">
        <v>12</v>
      </c>
      <c r="D419" s="72" t="s">
        <v>100</v>
      </c>
      <c r="E419" s="73" t="s">
        <v>36</v>
      </c>
      <c r="F419" s="73" t="s">
        <v>48</v>
      </c>
      <c r="G419" s="72" t="s">
        <v>85</v>
      </c>
      <c r="H419" s="47">
        <f>IF('Lançamento Diário'!N26="","",'Lançamento Diário'!N26)</f>
        <v>7</v>
      </c>
    </row>
    <row r="420" spans="2:8" x14ac:dyDescent="0.25">
      <c r="B420" s="71">
        <v>46247</v>
      </c>
      <c r="C420" s="72">
        <v>13</v>
      </c>
      <c r="D420" s="72" t="s">
        <v>101</v>
      </c>
      <c r="E420" s="73" t="s">
        <v>36</v>
      </c>
      <c r="F420" s="73" t="s">
        <v>48</v>
      </c>
      <c r="G420" s="72" t="s">
        <v>85</v>
      </c>
      <c r="H420" s="47">
        <f>IF('Lançamento Diário'!O26="","",'Lançamento Diário'!O26)</f>
        <v>4</v>
      </c>
    </row>
    <row r="421" spans="2:8" x14ac:dyDescent="0.25">
      <c r="B421" s="71">
        <v>46248</v>
      </c>
      <c r="C421" s="72">
        <v>14</v>
      </c>
      <c r="D421" s="72" t="s">
        <v>102</v>
      </c>
      <c r="E421" s="73" t="s">
        <v>36</v>
      </c>
      <c r="F421" s="73" t="s">
        <v>48</v>
      </c>
      <c r="G421" s="72" t="s">
        <v>85</v>
      </c>
      <c r="H421" s="47">
        <f>IF('Lançamento Diário'!P26="","",'Lançamento Diário'!P26)</f>
        <v>7</v>
      </c>
    </row>
    <row r="422" spans="2:8" x14ac:dyDescent="0.25">
      <c r="B422" s="71">
        <v>46249</v>
      </c>
      <c r="C422" s="72">
        <v>15</v>
      </c>
      <c r="D422" s="72" t="s">
        <v>96</v>
      </c>
      <c r="E422" s="73" t="s">
        <v>36</v>
      </c>
      <c r="F422" s="73" t="s">
        <v>48</v>
      </c>
      <c r="G422" s="72" t="s">
        <v>85</v>
      </c>
      <c r="H422" s="47">
        <f>IF('Lançamento Diário'!Q26="","",'Lançamento Diário'!Q26)</f>
        <v>0</v>
      </c>
    </row>
    <row r="423" spans="2:8" x14ac:dyDescent="0.25">
      <c r="B423" s="71">
        <v>46250</v>
      </c>
      <c r="C423" s="72">
        <v>16</v>
      </c>
      <c r="D423" s="72" t="s">
        <v>97</v>
      </c>
      <c r="E423" s="73" t="s">
        <v>36</v>
      </c>
      <c r="F423" s="73" t="s">
        <v>48</v>
      </c>
      <c r="G423" s="72" t="s">
        <v>85</v>
      </c>
      <c r="H423" s="47">
        <f>IF('Lançamento Diário'!R26="","",'Lançamento Diário'!R26)</f>
        <v>0</v>
      </c>
    </row>
    <row r="424" spans="2:8" x14ac:dyDescent="0.25">
      <c r="B424" s="71">
        <v>46251</v>
      </c>
      <c r="C424" s="72">
        <v>17</v>
      </c>
      <c r="D424" s="72" t="s">
        <v>98</v>
      </c>
      <c r="E424" s="73" t="s">
        <v>36</v>
      </c>
      <c r="F424" s="73" t="s">
        <v>48</v>
      </c>
      <c r="G424" s="72" t="s">
        <v>85</v>
      </c>
      <c r="H424" s="47">
        <f>IF('Lançamento Diário'!S26="","",'Lançamento Diário'!S26)</f>
        <v>1</v>
      </c>
    </row>
    <row r="425" spans="2:8" x14ac:dyDescent="0.25">
      <c r="B425" s="71">
        <v>46252</v>
      </c>
      <c r="C425" s="72">
        <v>18</v>
      </c>
      <c r="D425" s="72" t="s">
        <v>99</v>
      </c>
      <c r="E425" s="73" t="s">
        <v>36</v>
      </c>
      <c r="F425" s="73" t="s">
        <v>48</v>
      </c>
      <c r="G425" s="72" t="s">
        <v>85</v>
      </c>
      <c r="H425" s="47">
        <f>IF('Lançamento Diário'!T26="","",'Lançamento Diário'!T26)</f>
        <v>9</v>
      </c>
    </row>
    <row r="426" spans="2:8" x14ac:dyDescent="0.25">
      <c r="B426" s="71">
        <v>46253</v>
      </c>
      <c r="C426" s="72">
        <v>19</v>
      </c>
      <c r="D426" s="72" t="s">
        <v>100</v>
      </c>
      <c r="E426" s="73" t="s">
        <v>36</v>
      </c>
      <c r="F426" s="73" t="s">
        <v>48</v>
      </c>
      <c r="G426" s="72" t="s">
        <v>85</v>
      </c>
      <c r="H426" s="47">
        <f>IF('Lançamento Diário'!U26="","",'Lançamento Diário'!U26)</f>
        <v>4</v>
      </c>
    </row>
    <row r="427" spans="2:8" x14ac:dyDescent="0.25">
      <c r="B427" s="71">
        <v>46254</v>
      </c>
      <c r="C427" s="72">
        <v>20</v>
      </c>
      <c r="D427" s="72" t="s">
        <v>101</v>
      </c>
      <c r="E427" s="73" t="s">
        <v>36</v>
      </c>
      <c r="F427" s="73" t="s">
        <v>48</v>
      </c>
      <c r="G427" s="72" t="s">
        <v>85</v>
      </c>
      <c r="H427" s="47">
        <f>IF('Lançamento Diário'!V26="","",'Lançamento Diário'!V26)</f>
        <v>3</v>
      </c>
    </row>
    <row r="428" spans="2:8" x14ac:dyDescent="0.25">
      <c r="B428" s="71">
        <v>46255</v>
      </c>
      <c r="C428" s="72">
        <v>21</v>
      </c>
      <c r="D428" s="72" t="s">
        <v>102</v>
      </c>
      <c r="E428" s="73" t="s">
        <v>36</v>
      </c>
      <c r="F428" s="73" t="s">
        <v>48</v>
      </c>
      <c r="G428" s="72" t="s">
        <v>85</v>
      </c>
      <c r="H428" s="47">
        <f>IF('Lançamento Diário'!W26="","",'Lançamento Diário'!W26)</f>
        <v>5</v>
      </c>
    </row>
    <row r="429" spans="2:8" x14ac:dyDescent="0.25">
      <c r="B429" s="71">
        <v>46256</v>
      </c>
      <c r="C429" s="72">
        <v>22</v>
      </c>
      <c r="D429" s="72" t="s">
        <v>96</v>
      </c>
      <c r="E429" s="73" t="s">
        <v>36</v>
      </c>
      <c r="F429" s="73" t="s">
        <v>48</v>
      </c>
      <c r="G429" s="72" t="s">
        <v>85</v>
      </c>
      <c r="H429" s="47">
        <f>IF('Lançamento Diário'!X26="","",'Lançamento Diário'!X26)</f>
        <v>1</v>
      </c>
    </row>
    <row r="430" spans="2:8" x14ac:dyDescent="0.25">
      <c r="B430" s="71">
        <v>46257</v>
      </c>
      <c r="C430" s="72">
        <v>23</v>
      </c>
      <c r="D430" s="72" t="s">
        <v>97</v>
      </c>
      <c r="E430" s="73" t="s">
        <v>36</v>
      </c>
      <c r="F430" s="73" t="s">
        <v>48</v>
      </c>
      <c r="G430" s="72" t="s">
        <v>85</v>
      </c>
      <c r="H430" s="47">
        <f>IF('Lançamento Diário'!Y26="","",'Lançamento Diário'!Y26)</f>
        <v>0</v>
      </c>
    </row>
    <row r="431" spans="2:8" x14ac:dyDescent="0.25">
      <c r="B431" s="71">
        <v>46258</v>
      </c>
      <c r="C431" s="72">
        <v>24</v>
      </c>
      <c r="D431" s="72" t="s">
        <v>98</v>
      </c>
      <c r="E431" s="73" t="s">
        <v>36</v>
      </c>
      <c r="F431" s="73" t="s">
        <v>48</v>
      </c>
      <c r="G431" s="72" t="s">
        <v>85</v>
      </c>
      <c r="H431" s="47">
        <f>IF('Lançamento Diário'!Z26="","",'Lançamento Diário'!Z26)</f>
        <v>4</v>
      </c>
    </row>
    <row r="432" spans="2:8" x14ac:dyDescent="0.25">
      <c r="B432" s="71">
        <v>46259</v>
      </c>
      <c r="C432" s="72">
        <v>25</v>
      </c>
      <c r="D432" s="72" t="s">
        <v>99</v>
      </c>
      <c r="E432" s="73" t="s">
        <v>36</v>
      </c>
      <c r="F432" s="73" t="s">
        <v>48</v>
      </c>
      <c r="G432" s="72" t="s">
        <v>85</v>
      </c>
      <c r="H432" s="47">
        <f>IF('Lançamento Diário'!AA26="","",'Lançamento Diário'!AA26)</f>
        <v>6</v>
      </c>
    </row>
    <row r="433" spans="2:8" x14ac:dyDescent="0.25">
      <c r="B433" s="71">
        <v>46260</v>
      </c>
      <c r="C433" s="72">
        <v>26</v>
      </c>
      <c r="D433" s="72" t="s">
        <v>100</v>
      </c>
      <c r="E433" s="73" t="s">
        <v>36</v>
      </c>
      <c r="F433" s="73" t="s">
        <v>48</v>
      </c>
      <c r="G433" s="72" t="s">
        <v>85</v>
      </c>
      <c r="H433" s="47">
        <f>IF('Lançamento Diário'!AB26="","",'Lançamento Diário'!AB26)</f>
        <v>4</v>
      </c>
    </row>
    <row r="434" spans="2:8" x14ac:dyDescent="0.25">
      <c r="B434" s="71">
        <v>46261</v>
      </c>
      <c r="C434" s="72">
        <v>27</v>
      </c>
      <c r="D434" s="72" t="s">
        <v>101</v>
      </c>
      <c r="E434" s="73" t="s">
        <v>36</v>
      </c>
      <c r="F434" s="73" t="s">
        <v>48</v>
      </c>
      <c r="G434" s="72" t="s">
        <v>85</v>
      </c>
      <c r="H434" s="47">
        <f>IF('Lançamento Diário'!AC26="","",'Lançamento Diário'!AC26)</f>
        <v>6</v>
      </c>
    </row>
    <row r="435" spans="2:8" x14ac:dyDescent="0.25">
      <c r="B435" s="71">
        <v>46262</v>
      </c>
      <c r="C435" s="72">
        <v>28</v>
      </c>
      <c r="D435" s="72" t="s">
        <v>102</v>
      </c>
      <c r="E435" s="73" t="s">
        <v>36</v>
      </c>
      <c r="F435" s="73" t="s">
        <v>48</v>
      </c>
      <c r="G435" s="72" t="s">
        <v>85</v>
      </c>
      <c r="H435" s="47">
        <f>IF('Lançamento Diário'!AD26="","",'Lançamento Diário'!AD26)</f>
        <v>2</v>
      </c>
    </row>
    <row r="436" spans="2:8" x14ac:dyDescent="0.25">
      <c r="B436" s="71">
        <v>46263</v>
      </c>
      <c r="C436" s="72">
        <v>29</v>
      </c>
      <c r="D436" s="72" t="s">
        <v>96</v>
      </c>
      <c r="E436" s="73" t="s">
        <v>36</v>
      </c>
      <c r="F436" s="73" t="s">
        <v>48</v>
      </c>
      <c r="G436" s="72" t="s">
        <v>85</v>
      </c>
      <c r="H436" s="47">
        <f>IF('Lançamento Diário'!AE26="","",'Lançamento Diário'!AE26)</f>
        <v>2</v>
      </c>
    </row>
    <row r="437" spans="2:8" x14ac:dyDescent="0.25">
      <c r="B437" s="71">
        <v>46264</v>
      </c>
      <c r="C437" s="72">
        <v>30</v>
      </c>
      <c r="D437" s="72" t="s">
        <v>97</v>
      </c>
      <c r="E437" s="73" t="s">
        <v>36</v>
      </c>
      <c r="F437" s="73" t="s">
        <v>48</v>
      </c>
      <c r="G437" s="72" t="s">
        <v>85</v>
      </c>
      <c r="H437" s="47">
        <f>IF('Lançamento Diário'!AF26="","",'Lançamento Diário'!AF26)</f>
        <v>0</v>
      </c>
    </row>
    <row r="438" spans="2:8" x14ac:dyDescent="0.25">
      <c r="B438" s="71">
        <v>46265</v>
      </c>
      <c r="C438" s="72">
        <v>31</v>
      </c>
      <c r="D438" s="72" t="s">
        <v>98</v>
      </c>
      <c r="E438" s="73" t="s">
        <v>36</v>
      </c>
      <c r="F438" s="73" t="s">
        <v>48</v>
      </c>
      <c r="G438" s="72" t="s">
        <v>85</v>
      </c>
      <c r="H438" s="47">
        <f>IF('Lançamento Diário'!AG26="","",'Lançamento Diário'!AG26)</f>
        <v>3</v>
      </c>
    </row>
    <row r="439" spans="2:8" x14ac:dyDescent="0.25">
      <c r="B439" s="71">
        <v>46235</v>
      </c>
      <c r="C439" s="72">
        <v>1</v>
      </c>
      <c r="D439" s="72" t="s">
        <v>96</v>
      </c>
      <c r="E439" s="73" t="s">
        <v>36</v>
      </c>
      <c r="F439" s="73" t="s">
        <v>49</v>
      </c>
      <c r="G439" s="72" t="s">
        <v>49</v>
      </c>
      <c r="H439" s="47">
        <f>IF('Lançamento Diário'!C27="","",'Lançamento Diário'!C27)</f>
        <v>3</v>
      </c>
    </row>
    <row r="440" spans="2:8" x14ac:dyDescent="0.25">
      <c r="B440" s="71">
        <v>46236</v>
      </c>
      <c r="C440" s="72">
        <v>2</v>
      </c>
      <c r="D440" s="72" t="s">
        <v>97</v>
      </c>
      <c r="E440" s="73" t="s">
        <v>36</v>
      </c>
      <c r="F440" s="73" t="s">
        <v>49</v>
      </c>
      <c r="G440" s="72" t="s">
        <v>49</v>
      </c>
      <c r="H440" s="47">
        <f>IF('Lançamento Diário'!D27="","",'Lançamento Diário'!D27)</f>
        <v>1</v>
      </c>
    </row>
    <row r="441" spans="2:8" x14ac:dyDescent="0.25">
      <c r="B441" s="71">
        <v>46237</v>
      </c>
      <c r="C441" s="72">
        <v>3</v>
      </c>
      <c r="D441" s="72" t="s">
        <v>98</v>
      </c>
      <c r="E441" s="73" t="s">
        <v>36</v>
      </c>
      <c r="F441" s="73" t="s">
        <v>49</v>
      </c>
      <c r="G441" s="72" t="s">
        <v>49</v>
      </c>
      <c r="H441" s="47">
        <f>IF('Lançamento Diário'!E27="","",'Lançamento Diário'!E27)</f>
        <v>2</v>
      </c>
    </row>
    <row r="442" spans="2:8" x14ac:dyDescent="0.25">
      <c r="B442" s="71">
        <v>46238</v>
      </c>
      <c r="C442" s="72">
        <v>4</v>
      </c>
      <c r="D442" s="72" t="s">
        <v>99</v>
      </c>
      <c r="E442" s="73" t="s">
        <v>36</v>
      </c>
      <c r="F442" s="73" t="s">
        <v>49</v>
      </c>
      <c r="G442" s="72" t="s">
        <v>49</v>
      </c>
      <c r="H442" s="47">
        <f>IF('Lançamento Diário'!F27="","",'Lançamento Diário'!F27)</f>
        <v>1</v>
      </c>
    </row>
    <row r="443" spans="2:8" x14ac:dyDescent="0.25">
      <c r="B443" s="71">
        <v>46239</v>
      </c>
      <c r="C443" s="72">
        <v>5</v>
      </c>
      <c r="D443" s="72" t="s">
        <v>100</v>
      </c>
      <c r="E443" s="73" t="s">
        <v>36</v>
      </c>
      <c r="F443" s="73" t="s">
        <v>49</v>
      </c>
      <c r="G443" s="72" t="s">
        <v>49</v>
      </c>
      <c r="H443" s="47">
        <f>IF('Lançamento Diário'!G27="","",'Lançamento Diário'!G27)</f>
        <v>1</v>
      </c>
    </row>
    <row r="444" spans="2:8" x14ac:dyDescent="0.25">
      <c r="B444" s="71">
        <v>46240</v>
      </c>
      <c r="C444" s="72">
        <v>6</v>
      </c>
      <c r="D444" s="72" t="s">
        <v>101</v>
      </c>
      <c r="E444" s="73" t="s">
        <v>36</v>
      </c>
      <c r="F444" s="73" t="s">
        <v>49</v>
      </c>
      <c r="G444" s="72" t="s">
        <v>49</v>
      </c>
      <c r="H444" s="47">
        <f>IF('Lançamento Diário'!H27="","",'Lançamento Diário'!H27)</f>
        <v>1</v>
      </c>
    </row>
    <row r="445" spans="2:8" x14ac:dyDescent="0.25">
      <c r="B445" s="71">
        <v>46241</v>
      </c>
      <c r="C445" s="72">
        <v>7</v>
      </c>
      <c r="D445" s="72" t="s">
        <v>102</v>
      </c>
      <c r="E445" s="73" t="s">
        <v>36</v>
      </c>
      <c r="F445" s="73" t="s">
        <v>49</v>
      </c>
      <c r="G445" s="72" t="s">
        <v>49</v>
      </c>
      <c r="H445" s="47">
        <f>IF('Lançamento Diário'!I27="","",'Lançamento Diário'!I27)</f>
        <v>0</v>
      </c>
    </row>
    <row r="446" spans="2:8" x14ac:dyDescent="0.25">
      <c r="B446" s="71">
        <v>46242</v>
      </c>
      <c r="C446" s="72">
        <v>8</v>
      </c>
      <c r="D446" s="72" t="s">
        <v>96</v>
      </c>
      <c r="E446" s="73" t="s">
        <v>36</v>
      </c>
      <c r="F446" s="73" t="s">
        <v>49</v>
      </c>
      <c r="G446" s="72" t="s">
        <v>49</v>
      </c>
      <c r="H446" s="47">
        <f>IF('Lançamento Diário'!J27="","",'Lançamento Diário'!J27)</f>
        <v>0</v>
      </c>
    </row>
    <row r="447" spans="2:8" x14ac:dyDescent="0.25">
      <c r="B447" s="71">
        <v>46243</v>
      </c>
      <c r="C447" s="72">
        <v>9</v>
      </c>
      <c r="D447" s="72" t="s">
        <v>97</v>
      </c>
      <c r="E447" s="73" t="s">
        <v>36</v>
      </c>
      <c r="F447" s="73" t="s">
        <v>49</v>
      </c>
      <c r="G447" s="72" t="s">
        <v>49</v>
      </c>
      <c r="H447" s="47">
        <f>IF('Lançamento Diário'!K27="","",'Lançamento Diário'!K27)</f>
        <v>0</v>
      </c>
    </row>
    <row r="448" spans="2:8" x14ac:dyDescent="0.25">
      <c r="B448" s="71">
        <v>46244</v>
      </c>
      <c r="C448" s="72">
        <v>10</v>
      </c>
      <c r="D448" s="72" t="s">
        <v>98</v>
      </c>
      <c r="E448" s="73" t="s">
        <v>36</v>
      </c>
      <c r="F448" s="73" t="s">
        <v>49</v>
      </c>
      <c r="G448" s="72" t="s">
        <v>49</v>
      </c>
      <c r="H448" s="47">
        <f>IF('Lançamento Diário'!L27="","",'Lançamento Diário'!L27)</f>
        <v>0</v>
      </c>
    </row>
    <row r="449" spans="2:8" x14ac:dyDescent="0.25">
      <c r="B449" s="71">
        <v>46245</v>
      </c>
      <c r="C449" s="72">
        <v>11</v>
      </c>
      <c r="D449" s="72" t="s">
        <v>99</v>
      </c>
      <c r="E449" s="73" t="s">
        <v>36</v>
      </c>
      <c r="F449" s="73" t="s">
        <v>49</v>
      </c>
      <c r="G449" s="72" t="s">
        <v>49</v>
      </c>
      <c r="H449" s="47">
        <f>IF('Lançamento Diário'!M27="","",'Lançamento Diário'!M27)</f>
        <v>0</v>
      </c>
    </row>
    <row r="450" spans="2:8" x14ac:dyDescent="0.25">
      <c r="B450" s="71">
        <v>46246</v>
      </c>
      <c r="C450" s="72">
        <v>12</v>
      </c>
      <c r="D450" s="72" t="s">
        <v>100</v>
      </c>
      <c r="E450" s="73" t="s">
        <v>36</v>
      </c>
      <c r="F450" s="73" t="s">
        <v>49</v>
      </c>
      <c r="G450" s="72" t="s">
        <v>49</v>
      </c>
      <c r="H450" s="47">
        <f>IF('Lançamento Diário'!N27="","",'Lançamento Diário'!N27)</f>
        <v>1</v>
      </c>
    </row>
    <row r="451" spans="2:8" x14ac:dyDescent="0.25">
      <c r="B451" s="71">
        <v>46247</v>
      </c>
      <c r="C451" s="72">
        <v>13</v>
      </c>
      <c r="D451" s="72" t="s">
        <v>101</v>
      </c>
      <c r="E451" s="73" t="s">
        <v>36</v>
      </c>
      <c r="F451" s="73" t="s">
        <v>49</v>
      </c>
      <c r="G451" s="72" t="s">
        <v>49</v>
      </c>
      <c r="H451" s="47">
        <f>IF('Lançamento Diário'!O27="","",'Lançamento Diário'!O27)</f>
        <v>0</v>
      </c>
    </row>
    <row r="452" spans="2:8" x14ac:dyDescent="0.25">
      <c r="B452" s="71">
        <v>46248</v>
      </c>
      <c r="C452" s="72">
        <v>14</v>
      </c>
      <c r="D452" s="72" t="s">
        <v>102</v>
      </c>
      <c r="E452" s="73" t="s">
        <v>36</v>
      </c>
      <c r="F452" s="73" t="s">
        <v>49</v>
      </c>
      <c r="G452" s="72" t="s">
        <v>49</v>
      </c>
      <c r="H452" s="47">
        <f>IF('Lançamento Diário'!P27="","",'Lançamento Diário'!P27)</f>
        <v>1</v>
      </c>
    </row>
    <row r="453" spans="2:8" x14ac:dyDescent="0.25">
      <c r="B453" s="71">
        <v>46249</v>
      </c>
      <c r="C453" s="72">
        <v>15</v>
      </c>
      <c r="D453" s="72" t="s">
        <v>96</v>
      </c>
      <c r="E453" s="73" t="s">
        <v>36</v>
      </c>
      <c r="F453" s="73" t="s">
        <v>49</v>
      </c>
      <c r="G453" s="72" t="s">
        <v>49</v>
      </c>
      <c r="H453" s="47">
        <f>IF('Lançamento Diário'!Q27="","",'Lançamento Diário'!Q27)</f>
        <v>0</v>
      </c>
    </row>
    <row r="454" spans="2:8" x14ac:dyDescent="0.25">
      <c r="B454" s="71">
        <v>46250</v>
      </c>
      <c r="C454" s="72">
        <v>16</v>
      </c>
      <c r="D454" s="72" t="s">
        <v>97</v>
      </c>
      <c r="E454" s="73" t="s">
        <v>36</v>
      </c>
      <c r="F454" s="73" t="s">
        <v>49</v>
      </c>
      <c r="G454" s="72" t="s">
        <v>49</v>
      </c>
      <c r="H454" s="47">
        <f>IF('Lançamento Diário'!R27="","",'Lançamento Diário'!R27)</f>
        <v>0</v>
      </c>
    </row>
    <row r="455" spans="2:8" x14ac:dyDescent="0.25">
      <c r="B455" s="71">
        <v>46251</v>
      </c>
      <c r="C455" s="72">
        <v>17</v>
      </c>
      <c r="D455" s="72" t="s">
        <v>98</v>
      </c>
      <c r="E455" s="73" t="s">
        <v>36</v>
      </c>
      <c r="F455" s="73" t="s">
        <v>49</v>
      </c>
      <c r="G455" s="72" t="s">
        <v>49</v>
      </c>
      <c r="H455" s="47">
        <f>IF('Lançamento Diário'!S27="","",'Lançamento Diário'!S27)</f>
        <v>0</v>
      </c>
    </row>
    <row r="456" spans="2:8" x14ac:dyDescent="0.25">
      <c r="B456" s="71">
        <v>46252</v>
      </c>
      <c r="C456" s="72">
        <v>18</v>
      </c>
      <c r="D456" s="72" t="s">
        <v>99</v>
      </c>
      <c r="E456" s="73" t="s">
        <v>36</v>
      </c>
      <c r="F456" s="73" t="s">
        <v>49</v>
      </c>
      <c r="G456" s="72" t="s">
        <v>49</v>
      </c>
      <c r="H456" s="47">
        <f>IF('Lançamento Diário'!T27="","",'Lançamento Diário'!T27)</f>
        <v>1</v>
      </c>
    </row>
    <row r="457" spans="2:8" x14ac:dyDescent="0.25">
      <c r="B457" s="71">
        <v>46253</v>
      </c>
      <c r="C457" s="72">
        <v>19</v>
      </c>
      <c r="D457" s="72" t="s">
        <v>100</v>
      </c>
      <c r="E457" s="73" t="s">
        <v>36</v>
      </c>
      <c r="F457" s="73" t="s">
        <v>49</v>
      </c>
      <c r="G457" s="72" t="s">
        <v>49</v>
      </c>
      <c r="H457" s="47">
        <f>IF('Lançamento Diário'!U27="","",'Lançamento Diário'!U27)</f>
        <v>4</v>
      </c>
    </row>
    <row r="458" spans="2:8" x14ac:dyDescent="0.25">
      <c r="B458" s="71">
        <v>46254</v>
      </c>
      <c r="C458" s="72">
        <v>20</v>
      </c>
      <c r="D458" s="72" t="s">
        <v>101</v>
      </c>
      <c r="E458" s="73" t="s">
        <v>36</v>
      </c>
      <c r="F458" s="73" t="s">
        <v>49</v>
      </c>
      <c r="G458" s="72" t="s">
        <v>49</v>
      </c>
      <c r="H458" s="47">
        <f>IF('Lançamento Diário'!V27="","",'Lançamento Diário'!V27)</f>
        <v>0</v>
      </c>
    </row>
    <row r="459" spans="2:8" x14ac:dyDescent="0.25">
      <c r="B459" s="71">
        <v>46255</v>
      </c>
      <c r="C459" s="72">
        <v>21</v>
      </c>
      <c r="D459" s="72" t="s">
        <v>102</v>
      </c>
      <c r="E459" s="73" t="s">
        <v>36</v>
      </c>
      <c r="F459" s="73" t="s">
        <v>49</v>
      </c>
      <c r="G459" s="72" t="s">
        <v>49</v>
      </c>
      <c r="H459" s="47">
        <f>IF('Lançamento Diário'!W27="","",'Lançamento Diário'!W27)</f>
        <v>0</v>
      </c>
    </row>
    <row r="460" spans="2:8" x14ac:dyDescent="0.25">
      <c r="B460" s="71">
        <v>46256</v>
      </c>
      <c r="C460" s="72">
        <v>22</v>
      </c>
      <c r="D460" s="72" t="s">
        <v>96</v>
      </c>
      <c r="E460" s="73" t="s">
        <v>36</v>
      </c>
      <c r="F460" s="73" t="s">
        <v>49</v>
      </c>
      <c r="G460" s="72" t="s">
        <v>49</v>
      </c>
      <c r="H460" s="47">
        <f>IF('Lançamento Diário'!X27="","",'Lançamento Diário'!X27)</f>
        <v>0</v>
      </c>
    </row>
    <row r="461" spans="2:8" x14ac:dyDescent="0.25">
      <c r="B461" s="71">
        <v>46257</v>
      </c>
      <c r="C461" s="72">
        <v>23</v>
      </c>
      <c r="D461" s="72" t="s">
        <v>97</v>
      </c>
      <c r="E461" s="73" t="s">
        <v>36</v>
      </c>
      <c r="F461" s="73" t="s">
        <v>49</v>
      </c>
      <c r="G461" s="72" t="s">
        <v>49</v>
      </c>
      <c r="H461" s="47">
        <f>IF('Lançamento Diário'!Y27="","",'Lançamento Diário'!Y27)</f>
        <v>0</v>
      </c>
    </row>
    <row r="462" spans="2:8" x14ac:dyDescent="0.25">
      <c r="B462" s="71">
        <v>46258</v>
      </c>
      <c r="C462" s="72">
        <v>24</v>
      </c>
      <c r="D462" s="72" t="s">
        <v>98</v>
      </c>
      <c r="E462" s="73" t="s">
        <v>36</v>
      </c>
      <c r="F462" s="73" t="s">
        <v>49</v>
      </c>
      <c r="G462" s="72" t="s">
        <v>49</v>
      </c>
      <c r="H462" s="47">
        <f>IF('Lançamento Diário'!Z27="","",'Lançamento Diário'!Z27)</f>
        <v>3</v>
      </c>
    </row>
    <row r="463" spans="2:8" x14ac:dyDescent="0.25">
      <c r="B463" s="71">
        <v>46259</v>
      </c>
      <c r="C463" s="72">
        <v>25</v>
      </c>
      <c r="D463" s="72" t="s">
        <v>99</v>
      </c>
      <c r="E463" s="73" t="s">
        <v>36</v>
      </c>
      <c r="F463" s="73" t="s">
        <v>49</v>
      </c>
      <c r="G463" s="72" t="s">
        <v>49</v>
      </c>
      <c r="H463" s="47">
        <f>IF('Lançamento Diário'!AA27="","",'Lançamento Diário'!AA27)</f>
        <v>1</v>
      </c>
    </row>
    <row r="464" spans="2:8" x14ac:dyDescent="0.25">
      <c r="B464" s="71">
        <v>46260</v>
      </c>
      <c r="C464" s="72">
        <v>26</v>
      </c>
      <c r="D464" s="72" t="s">
        <v>100</v>
      </c>
      <c r="E464" s="73" t="s">
        <v>36</v>
      </c>
      <c r="F464" s="73" t="s">
        <v>49</v>
      </c>
      <c r="G464" s="72" t="s">
        <v>49</v>
      </c>
      <c r="H464" s="47">
        <f>IF('Lançamento Diário'!AB27="","",'Lançamento Diário'!AB27)</f>
        <v>0</v>
      </c>
    </row>
    <row r="465" spans="2:8" x14ac:dyDescent="0.25">
      <c r="B465" s="71">
        <v>46261</v>
      </c>
      <c r="C465" s="72">
        <v>27</v>
      </c>
      <c r="D465" s="72" t="s">
        <v>101</v>
      </c>
      <c r="E465" s="73" t="s">
        <v>36</v>
      </c>
      <c r="F465" s="73" t="s">
        <v>49</v>
      </c>
      <c r="G465" s="72" t="s">
        <v>49</v>
      </c>
      <c r="H465" s="47">
        <f>IF('Lançamento Diário'!AC27="","",'Lançamento Diário'!AC27)</f>
        <v>0</v>
      </c>
    </row>
    <row r="466" spans="2:8" x14ac:dyDescent="0.25">
      <c r="B466" s="71">
        <v>46262</v>
      </c>
      <c r="C466" s="72">
        <v>28</v>
      </c>
      <c r="D466" s="72" t="s">
        <v>102</v>
      </c>
      <c r="E466" s="73" t="s">
        <v>36</v>
      </c>
      <c r="F466" s="73" t="s">
        <v>49</v>
      </c>
      <c r="G466" s="72" t="s">
        <v>49</v>
      </c>
      <c r="H466" s="47">
        <f>IF('Lançamento Diário'!AD27="","",'Lançamento Diário'!AD27)</f>
        <v>2</v>
      </c>
    </row>
    <row r="467" spans="2:8" x14ac:dyDescent="0.25">
      <c r="B467" s="71">
        <v>46263</v>
      </c>
      <c r="C467" s="72">
        <v>29</v>
      </c>
      <c r="D467" s="72" t="s">
        <v>96</v>
      </c>
      <c r="E467" s="73" t="s">
        <v>36</v>
      </c>
      <c r="F467" s="73" t="s">
        <v>49</v>
      </c>
      <c r="G467" s="72" t="s">
        <v>49</v>
      </c>
      <c r="H467" s="47">
        <f>IF('Lançamento Diário'!AE27="","",'Lançamento Diário'!AE27)</f>
        <v>0</v>
      </c>
    </row>
    <row r="468" spans="2:8" x14ac:dyDescent="0.25">
      <c r="B468" s="71">
        <v>46264</v>
      </c>
      <c r="C468" s="72">
        <v>30</v>
      </c>
      <c r="D468" s="72" t="s">
        <v>97</v>
      </c>
      <c r="E468" s="73" t="s">
        <v>36</v>
      </c>
      <c r="F468" s="73" t="s">
        <v>49</v>
      </c>
      <c r="G468" s="72" t="s">
        <v>49</v>
      </c>
      <c r="H468" s="47">
        <f>IF('Lançamento Diário'!AF27="","",'Lançamento Diário'!AF27)</f>
        <v>0</v>
      </c>
    </row>
    <row r="469" spans="2:8" x14ac:dyDescent="0.25">
      <c r="B469" s="71">
        <v>46265</v>
      </c>
      <c r="C469" s="72">
        <v>31</v>
      </c>
      <c r="D469" s="72" t="s">
        <v>98</v>
      </c>
      <c r="E469" s="73" t="s">
        <v>36</v>
      </c>
      <c r="F469" s="73" t="s">
        <v>49</v>
      </c>
      <c r="G469" s="72" t="s">
        <v>49</v>
      </c>
      <c r="H469" s="47">
        <f>IF('Lançamento Diário'!AG27="","",'Lançamento Diário'!AG27)</f>
        <v>1</v>
      </c>
    </row>
    <row r="470" spans="2:8" x14ac:dyDescent="0.25">
      <c r="B470" s="71">
        <v>46235</v>
      </c>
      <c r="C470" s="72">
        <v>1</v>
      </c>
      <c r="D470" s="72" t="s">
        <v>96</v>
      </c>
      <c r="E470" s="73" t="s">
        <v>37</v>
      </c>
      <c r="F470" s="73" t="s">
        <v>45</v>
      </c>
      <c r="G470" s="72" t="s">
        <v>84</v>
      </c>
      <c r="H470" s="47">
        <f>IF('Lançamento Diário'!C31="","",'Lançamento Diário'!C31)</f>
        <v>6</v>
      </c>
    </row>
    <row r="471" spans="2:8" x14ac:dyDescent="0.25">
      <c r="B471" s="71">
        <v>46236</v>
      </c>
      <c r="C471" s="72">
        <v>2</v>
      </c>
      <c r="D471" s="72" t="s">
        <v>97</v>
      </c>
      <c r="E471" s="73" t="s">
        <v>37</v>
      </c>
      <c r="F471" s="73" t="s">
        <v>45</v>
      </c>
      <c r="G471" s="72" t="s">
        <v>84</v>
      </c>
      <c r="H471" s="47">
        <f>IF('Lançamento Diário'!D31="","",'Lançamento Diário'!D31)</f>
        <v>4</v>
      </c>
    </row>
    <row r="472" spans="2:8" x14ac:dyDescent="0.25">
      <c r="B472" s="71">
        <v>46237</v>
      </c>
      <c r="C472" s="72">
        <v>3</v>
      </c>
      <c r="D472" s="72" t="s">
        <v>98</v>
      </c>
      <c r="E472" s="73" t="s">
        <v>37</v>
      </c>
      <c r="F472" s="73" t="s">
        <v>45</v>
      </c>
      <c r="G472" s="72" t="s">
        <v>84</v>
      </c>
      <c r="H472" s="47">
        <f>IF('Lançamento Diário'!E31="","",'Lançamento Diário'!E31)</f>
        <v>2</v>
      </c>
    </row>
    <row r="473" spans="2:8" x14ac:dyDescent="0.25">
      <c r="B473" s="71">
        <v>46238</v>
      </c>
      <c r="C473" s="72">
        <v>4</v>
      </c>
      <c r="D473" s="72" t="s">
        <v>99</v>
      </c>
      <c r="E473" s="73" t="s">
        <v>37</v>
      </c>
      <c r="F473" s="73" t="s">
        <v>45</v>
      </c>
      <c r="G473" s="72" t="s">
        <v>84</v>
      </c>
      <c r="H473" s="47">
        <f>IF('Lançamento Diário'!F31="","",'Lançamento Diário'!F31)</f>
        <v>8</v>
      </c>
    </row>
    <row r="474" spans="2:8" x14ac:dyDescent="0.25">
      <c r="B474" s="71">
        <v>46239</v>
      </c>
      <c r="C474" s="72">
        <v>5</v>
      </c>
      <c r="D474" s="72" t="s">
        <v>100</v>
      </c>
      <c r="E474" s="73" t="s">
        <v>37</v>
      </c>
      <c r="F474" s="73" t="s">
        <v>45</v>
      </c>
      <c r="G474" s="72" t="s">
        <v>84</v>
      </c>
      <c r="H474" s="47">
        <f>IF('Lançamento Diário'!G31="","",'Lançamento Diário'!G31)</f>
        <v>10</v>
      </c>
    </row>
    <row r="475" spans="2:8" x14ac:dyDescent="0.25">
      <c r="B475" s="71">
        <v>46240</v>
      </c>
      <c r="C475" s="72">
        <v>6</v>
      </c>
      <c r="D475" s="72" t="s">
        <v>101</v>
      </c>
      <c r="E475" s="73" t="s">
        <v>37</v>
      </c>
      <c r="F475" s="73" t="s">
        <v>45</v>
      </c>
      <c r="G475" s="72" t="s">
        <v>84</v>
      </c>
      <c r="H475" s="47">
        <f>IF('Lançamento Diário'!H31="","",'Lançamento Diário'!H31)</f>
        <v>8</v>
      </c>
    </row>
    <row r="476" spans="2:8" x14ac:dyDescent="0.25">
      <c r="B476" s="71">
        <v>46241</v>
      </c>
      <c r="C476" s="72">
        <v>7</v>
      </c>
      <c r="D476" s="72" t="s">
        <v>102</v>
      </c>
      <c r="E476" s="73" t="s">
        <v>37</v>
      </c>
      <c r="F476" s="73" t="s">
        <v>45</v>
      </c>
      <c r="G476" s="72" t="s">
        <v>84</v>
      </c>
      <c r="H476" s="47">
        <f>IF('Lançamento Diário'!I31="","",'Lançamento Diário'!I31)</f>
        <v>9</v>
      </c>
    </row>
    <row r="477" spans="2:8" x14ac:dyDescent="0.25">
      <c r="B477" s="71">
        <v>46242</v>
      </c>
      <c r="C477" s="72">
        <v>8</v>
      </c>
      <c r="D477" s="72" t="s">
        <v>96</v>
      </c>
      <c r="E477" s="73" t="s">
        <v>37</v>
      </c>
      <c r="F477" s="73" t="s">
        <v>45</v>
      </c>
      <c r="G477" s="72" t="s">
        <v>84</v>
      </c>
      <c r="H477" s="47">
        <f>IF('Lançamento Diário'!J31="","",'Lançamento Diário'!J31)</f>
        <v>9</v>
      </c>
    </row>
    <row r="478" spans="2:8" x14ac:dyDescent="0.25">
      <c r="B478" s="71">
        <v>46243</v>
      </c>
      <c r="C478" s="72">
        <v>9</v>
      </c>
      <c r="D478" s="72" t="s">
        <v>97</v>
      </c>
      <c r="E478" s="73" t="s">
        <v>37</v>
      </c>
      <c r="F478" s="73" t="s">
        <v>45</v>
      </c>
      <c r="G478" s="72" t="s">
        <v>84</v>
      </c>
      <c r="H478" s="47">
        <f>IF('Lançamento Diário'!K31="","",'Lançamento Diário'!K31)</f>
        <v>0</v>
      </c>
    </row>
    <row r="479" spans="2:8" x14ac:dyDescent="0.25">
      <c r="B479" s="71">
        <v>46244</v>
      </c>
      <c r="C479" s="72">
        <v>10</v>
      </c>
      <c r="D479" s="72" t="s">
        <v>98</v>
      </c>
      <c r="E479" s="73" t="s">
        <v>37</v>
      </c>
      <c r="F479" s="73" t="s">
        <v>45</v>
      </c>
      <c r="G479" s="72" t="s">
        <v>84</v>
      </c>
      <c r="H479" s="47">
        <f>IF('Lançamento Diário'!L31="","",'Lançamento Diário'!L31)</f>
        <v>6</v>
      </c>
    </row>
    <row r="480" spans="2:8" x14ac:dyDescent="0.25">
      <c r="B480" s="71">
        <v>46245</v>
      </c>
      <c r="C480" s="72">
        <v>11</v>
      </c>
      <c r="D480" s="72" t="s">
        <v>99</v>
      </c>
      <c r="E480" s="73" t="s">
        <v>37</v>
      </c>
      <c r="F480" s="73" t="s">
        <v>45</v>
      </c>
      <c r="G480" s="72" t="s">
        <v>84</v>
      </c>
      <c r="H480" s="47">
        <f>IF('Lançamento Diário'!M31="","",'Lançamento Diário'!M31)</f>
        <v>10</v>
      </c>
    </row>
    <row r="481" spans="2:8" x14ac:dyDescent="0.25">
      <c r="B481" s="71">
        <v>46246</v>
      </c>
      <c r="C481" s="72">
        <v>12</v>
      </c>
      <c r="D481" s="72" t="s">
        <v>100</v>
      </c>
      <c r="E481" s="73" t="s">
        <v>37</v>
      </c>
      <c r="F481" s="73" t="s">
        <v>45</v>
      </c>
      <c r="G481" s="72" t="s">
        <v>84</v>
      </c>
      <c r="H481" s="47">
        <f>IF('Lançamento Diário'!N31="","",'Lançamento Diário'!N31)</f>
        <v>11</v>
      </c>
    </row>
    <row r="482" spans="2:8" x14ac:dyDescent="0.25">
      <c r="B482" s="71">
        <v>46247</v>
      </c>
      <c r="C482" s="72">
        <v>13</v>
      </c>
      <c r="D482" s="72" t="s">
        <v>101</v>
      </c>
      <c r="E482" s="73" t="s">
        <v>37</v>
      </c>
      <c r="F482" s="73" t="s">
        <v>45</v>
      </c>
      <c r="G482" s="72" t="s">
        <v>84</v>
      </c>
      <c r="H482" s="47">
        <f>IF('Lançamento Diário'!O31="","",'Lançamento Diário'!O31)</f>
        <v>11</v>
      </c>
    </row>
    <row r="483" spans="2:8" x14ac:dyDescent="0.25">
      <c r="B483" s="71">
        <v>46248</v>
      </c>
      <c r="C483" s="72">
        <v>14</v>
      </c>
      <c r="D483" s="72" t="s">
        <v>102</v>
      </c>
      <c r="E483" s="73" t="s">
        <v>37</v>
      </c>
      <c r="F483" s="73" t="s">
        <v>45</v>
      </c>
      <c r="G483" s="72" t="s">
        <v>84</v>
      </c>
      <c r="H483" s="47">
        <f>IF('Lançamento Diário'!P31="","",'Lançamento Diário'!P31)</f>
        <v>9</v>
      </c>
    </row>
    <row r="484" spans="2:8" x14ac:dyDescent="0.25">
      <c r="B484" s="71">
        <v>46249</v>
      </c>
      <c r="C484" s="72">
        <v>15</v>
      </c>
      <c r="D484" s="72" t="s">
        <v>96</v>
      </c>
      <c r="E484" s="73" t="s">
        <v>37</v>
      </c>
      <c r="F484" s="73" t="s">
        <v>45</v>
      </c>
      <c r="G484" s="72" t="s">
        <v>84</v>
      </c>
      <c r="H484" s="47">
        <f>IF('Lançamento Diário'!Q31="","",'Lançamento Diário'!Q31)</f>
        <v>6</v>
      </c>
    </row>
    <row r="485" spans="2:8" x14ac:dyDescent="0.25">
      <c r="B485" s="71">
        <v>46250</v>
      </c>
      <c r="C485" s="72">
        <v>16</v>
      </c>
      <c r="D485" s="72" t="s">
        <v>97</v>
      </c>
      <c r="E485" s="73" t="s">
        <v>37</v>
      </c>
      <c r="F485" s="73" t="s">
        <v>45</v>
      </c>
      <c r="G485" s="72" t="s">
        <v>84</v>
      </c>
      <c r="H485" s="47">
        <f>IF('Lançamento Diário'!R31="","",'Lançamento Diário'!R31)</f>
        <v>0</v>
      </c>
    </row>
    <row r="486" spans="2:8" x14ac:dyDescent="0.25">
      <c r="B486" s="71">
        <v>46251</v>
      </c>
      <c r="C486" s="72">
        <v>17</v>
      </c>
      <c r="D486" s="72" t="s">
        <v>98</v>
      </c>
      <c r="E486" s="73" t="s">
        <v>37</v>
      </c>
      <c r="F486" s="73" t="s">
        <v>45</v>
      </c>
      <c r="G486" s="72" t="s">
        <v>84</v>
      </c>
      <c r="H486" s="47">
        <f>IF('Lançamento Diário'!S31="","",'Lançamento Diário'!S31)</f>
        <v>5</v>
      </c>
    </row>
    <row r="487" spans="2:8" x14ac:dyDescent="0.25">
      <c r="B487" s="71">
        <v>46252</v>
      </c>
      <c r="C487" s="72">
        <v>18</v>
      </c>
      <c r="D487" s="72" t="s">
        <v>99</v>
      </c>
      <c r="E487" s="73" t="s">
        <v>37</v>
      </c>
      <c r="F487" s="73" t="s">
        <v>45</v>
      </c>
      <c r="G487" s="72" t="s">
        <v>84</v>
      </c>
      <c r="H487" s="47">
        <f>IF('Lançamento Diário'!T31="","",'Lançamento Diário'!T31)</f>
        <v>7</v>
      </c>
    </row>
    <row r="488" spans="2:8" x14ac:dyDescent="0.25">
      <c r="B488" s="71">
        <v>46253</v>
      </c>
      <c r="C488" s="72">
        <v>19</v>
      </c>
      <c r="D488" s="72" t="s">
        <v>100</v>
      </c>
      <c r="E488" s="73" t="s">
        <v>37</v>
      </c>
      <c r="F488" s="73" t="s">
        <v>45</v>
      </c>
      <c r="G488" s="72" t="s">
        <v>84</v>
      </c>
      <c r="H488" s="47">
        <f>IF('Lançamento Diário'!U31="","",'Lançamento Diário'!U31)</f>
        <v>15</v>
      </c>
    </row>
    <row r="489" spans="2:8" x14ac:dyDescent="0.25">
      <c r="B489" s="71">
        <v>46254</v>
      </c>
      <c r="C489" s="72">
        <v>20</v>
      </c>
      <c r="D489" s="72" t="s">
        <v>101</v>
      </c>
      <c r="E489" s="73" t="s">
        <v>37</v>
      </c>
      <c r="F489" s="73" t="s">
        <v>45</v>
      </c>
      <c r="G489" s="72" t="s">
        <v>84</v>
      </c>
      <c r="H489" s="47">
        <f>IF('Lançamento Diário'!V31="","",'Lançamento Diário'!V31)</f>
        <v>10</v>
      </c>
    </row>
    <row r="490" spans="2:8" x14ac:dyDescent="0.25">
      <c r="B490" s="71">
        <v>46255</v>
      </c>
      <c r="C490" s="72">
        <v>21</v>
      </c>
      <c r="D490" s="72" t="s">
        <v>102</v>
      </c>
      <c r="E490" s="73" t="s">
        <v>37</v>
      </c>
      <c r="F490" s="73" t="s">
        <v>45</v>
      </c>
      <c r="G490" s="72" t="s">
        <v>84</v>
      </c>
      <c r="H490" s="47">
        <f>IF('Lançamento Diário'!W31="","",'Lançamento Diário'!W31)</f>
        <v>13</v>
      </c>
    </row>
    <row r="491" spans="2:8" x14ac:dyDescent="0.25">
      <c r="B491" s="71">
        <v>46256</v>
      </c>
      <c r="C491" s="72">
        <v>22</v>
      </c>
      <c r="D491" s="72" t="s">
        <v>96</v>
      </c>
      <c r="E491" s="73" t="s">
        <v>37</v>
      </c>
      <c r="F491" s="73" t="s">
        <v>45</v>
      </c>
      <c r="G491" s="72" t="s">
        <v>84</v>
      </c>
      <c r="H491" s="47">
        <f>IF('Lançamento Diário'!X31="","",'Lançamento Diário'!X31)</f>
        <v>7</v>
      </c>
    </row>
    <row r="492" spans="2:8" x14ac:dyDescent="0.25">
      <c r="B492" s="71">
        <v>46257</v>
      </c>
      <c r="C492" s="72">
        <v>23</v>
      </c>
      <c r="D492" s="72" t="s">
        <v>97</v>
      </c>
      <c r="E492" s="73" t="s">
        <v>37</v>
      </c>
      <c r="F492" s="73" t="s">
        <v>45</v>
      </c>
      <c r="G492" s="72" t="s">
        <v>84</v>
      </c>
      <c r="H492" s="47">
        <f>IF('Lançamento Diário'!Y31="","",'Lançamento Diário'!Y31)</f>
        <v>0</v>
      </c>
    </row>
    <row r="493" spans="2:8" x14ac:dyDescent="0.25">
      <c r="B493" s="71">
        <v>46258</v>
      </c>
      <c r="C493" s="72">
        <v>24</v>
      </c>
      <c r="D493" s="72" t="s">
        <v>98</v>
      </c>
      <c r="E493" s="73" t="s">
        <v>37</v>
      </c>
      <c r="F493" s="73" t="s">
        <v>45</v>
      </c>
      <c r="G493" s="72" t="s">
        <v>84</v>
      </c>
      <c r="H493" s="47">
        <f>IF('Lançamento Diário'!Z31="","",'Lançamento Diário'!Z31)</f>
        <v>5</v>
      </c>
    </row>
    <row r="494" spans="2:8" x14ac:dyDescent="0.25">
      <c r="B494" s="71">
        <v>46259</v>
      </c>
      <c r="C494" s="72">
        <v>25</v>
      </c>
      <c r="D494" s="72" t="s">
        <v>99</v>
      </c>
      <c r="E494" s="73" t="s">
        <v>37</v>
      </c>
      <c r="F494" s="73" t="s">
        <v>45</v>
      </c>
      <c r="G494" s="72" t="s">
        <v>84</v>
      </c>
      <c r="H494" s="47">
        <f>IF('Lançamento Diário'!AA31="","",'Lançamento Diário'!AA31)</f>
        <v>7</v>
      </c>
    </row>
    <row r="495" spans="2:8" x14ac:dyDescent="0.25">
      <c r="B495" s="71">
        <v>46260</v>
      </c>
      <c r="C495" s="72">
        <v>26</v>
      </c>
      <c r="D495" s="72" t="s">
        <v>100</v>
      </c>
      <c r="E495" s="73" t="s">
        <v>37</v>
      </c>
      <c r="F495" s="73" t="s">
        <v>45</v>
      </c>
      <c r="G495" s="72" t="s">
        <v>84</v>
      </c>
      <c r="H495" s="47">
        <f>IF('Lançamento Diário'!AB31="","",'Lançamento Diário'!AB31)</f>
        <v>7</v>
      </c>
    </row>
    <row r="496" spans="2:8" x14ac:dyDescent="0.25">
      <c r="B496" s="71">
        <v>46261</v>
      </c>
      <c r="C496" s="72">
        <v>27</v>
      </c>
      <c r="D496" s="72" t="s">
        <v>101</v>
      </c>
      <c r="E496" s="73" t="s">
        <v>37</v>
      </c>
      <c r="F496" s="73" t="s">
        <v>45</v>
      </c>
      <c r="G496" s="72" t="s">
        <v>84</v>
      </c>
      <c r="H496" s="47">
        <f>IF('Lançamento Diário'!AC31="","",'Lançamento Diário'!AC31)</f>
        <v>6</v>
      </c>
    </row>
    <row r="497" spans="2:8" x14ac:dyDescent="0.25">
      <c r="B497" s="71">
        <v>46262</v>
      </c>
      <c r="C497" s="72">
        <v>28</v>
      </c>
      <c r="D497" s="72" t="s">
        <v>102</v>
      </c>
      <c r="E497" s="73" t="s">
        <v>37</v>
      </c>
      <c r="F497" s="73" t="s">
        <v>45</v>
      </c>
      <c r="G497" s="72" t="s">
        <v>84</v>
      </c>
      <c r="H497" s="47">
        <f>IF('Lançamento Diário'!AD31="","",'Lançamento Diário'!AD31)</f>
        <v>9</v>
      </c>
    </row>
    <row r="498" spans="2:8" x14ac:dyDescent="0.25">
      <c r="B498" s="71">
        <v>46263</v>
      </c>
      <c r="C498" s="72">
        <v>29</v>
      </c>
      <c r="D498" s="72" t="s">
        <v>96</v>
      </c>
      <c r="E498" s="73" t="s">
        <v>37</v>
      </c>
      <c r="F498" s="73" t="s">
        <v>45</v>
      </c>
      <c r="G498" s="72" t="s">
        <v>84</v>
      </c>
      <c r="H498" s="47">
        <f>IF('Lançamento Diário'!AE31="","",'Lançamento Diário'!AE31)</f>
        <v>12</v>
      </c>
    </row>
    <row r="499" spans="2:8" x14ac:dyDescent="0.25">
      <c r="B499" s="71">
        <v>46264</v>
      </c>
      <c r="C499" s="72">
        <v>30</v>
      </c>
      <c r="D499" s="72" t="s">
        <v>97</v>
      </c>
      <c r="E499" s="73" t="s">
        <v>37</v>
      </c>
      <c r="F499" s="73" t="s">
        <v>45</v>
      </c>
      <c r="G499" s="72" t="s">
        <v>84</v>
      </c>
      <c r="H499" s="47">
        <f>IF('Lançamento Diário'!AF31="","",'Lançamento Diário'!AF31)</f>
        <v>0</v>
      </c>
    </row>
    <row r="500" spans="2:8" x14ac:dyDescent="0.25">
      <c r="B500" s="71">
        <v>46265</v>
      </c>
      <c r="C500" s="72">
        <v>31</v>
      </c>
      <c r="D500" s="72" t="s">
        <v>98</v>
      </c>
      <c r="E500" s="73" t="s">
        <v>37</v>
      </c>
      <c r="F500" s="73" t="s">
        <v>45</v>
      </c>
      <c r="G500" s="72" t="s">
        <v>84</v>
      </c>
      <c r="H500" s="47">
        <f>IF('Lançamento Diário'!AG31="","",'Lançamento Diário'!AG31)</f>
        <v>8</v>
      </c>
    </row>
    <row r="501" spans="2:8" x14ac:dyDescent="0.25">
      <c r="B501" s="71">
        <v>46235</v>
      </c>
      <c r="C501" s="72">
        <v>1</v>
      </c>
      <c r="D501" s="72" t="s">
        <v>96</v>
      </c>
      <c r="E501" s="73" t="s">
        <v>37</v>
      </c>
      <c r="F501" s="73" t="s">
        <v>46</v>
      </c>
      <c r="G501" s="72" t="s">
        <v>84</v>
      </c>
      <c r="H501" s="47">
        <f>IF('Lançamento Diário'!C32="","",'Lançamento Diário'!C32)</f>
        <v>2</v>
      </c>
    </row>
    <row r="502" spans="2:8" x14ac:dyDescent="0.25">
      <c r="B502" s="71">
        <v>46236</v>
      </c>
      <c r="C502" s="72">
        <v>2</v>
      </c>
      <c r="D502" s="72" t="s">
        <v>97</v>
      </c>
      <c r="E502" s="73" t="s">
        <v>37</v>
      </c>
      <c r="F502" s="73" t="s">
        <v>46</v>
      </c>
      <c r="G502" s="72" t="s">
        <v>84</v>
      </c>
      <c r="H502" s="47">
        <f>IF('Lançamento Diário'!D32="","",'Lançamento Diário'!D32)</f>
        <v>3</v>
      </c>
    </row>
    <row r="503" spans="2:8" x14ac:dyDescent="0.25">
      <c r="B503" s="71">
        <v>46237</v>
      </c>
      <c r="C503" s="72">
        <v>3</v>
      </c>
      <c r="D503" s="72" t="s">
        <v>98</v>
      </c>
      <c r="E503" s="73" t="s">
        <v>37</v>
      </c>
      <c r="F503" s="73" t="s">
        <v>46</v>
      </c>
      <c r="G503" s="72" t="s">
        <v>84</v>
      </c>
      <c r="H503" s="47">
        <f>IF('Lançamento Diário'!E32="","",'Lançamento Diário'!E32)</f>
        <v>2</v>
      </c>
    </row>
    <row r="504" spans="2:8" x14ac:dyDescent="0.25">
      <c r="B504" s="71">
        <v>46238</v>
      </c>
      <c r="C504" s="72">
        <v>4</v>
      </c>
      <c r="D504" s="72" t="s">
        <v>99</v>
      </c>
      <c r="E504" s="73" t="s">
        <v>37</v>
      </c>
      <c r="F504" s="73" t="s">
        <v>46</v>
      </c>
      <c r="G504" s="72" t="s">
        <v>84</v>
      </c>
      <c r="H504" s="47">
        <f>IF('Lançamento Diário'!F32="","",'Lançamento Diário'!F32)</f>
        <v>3</v>
      </c>
    </row>
    <row r="505" spans="2:8" x14ac:dyDescent="0.25">
      <c r="B505" s="71">
        <v>46239</v>
      </c>
      <c r="C505" s="72">
        <v>5</v>
      </c>
      <c r="D505" s="72" t="s">
        <v>100</v>
      </c>
      <c r="E505" s="73" t="s">
        <v>37</v>
      </c>
      <c r="F505" s="73" t="s">
        <v>46</v>
      </c>
      <c r="G505" s="72" t="s">
        <v>84</v>
      </c>
      <c r="H505" s="47">
        <f>IF('Lançamento Diário'!G32="","",'Lançamento Diário'!G32)</f>
        <v>3</v>
      </c>
    </row>
    <row r="506" spans="2:8" x14ac:dyDescent="0.25">
      <c r="B506" s="71">
        <v>46240</v>
      </c>
      <c r="C506" s="72">
        <v>6</v>
      </c>
      <c r="D506" s="72" t="s">
        <v>101</v>
      </c>
      <c r="E506" s="73" t="s">
        <v>37</v>
      </c>
      <c r="F506" s="73" t="s">
        <v>46</v>
      </c>
      <c r="G506" s="72" t="s">
        <v>84</v>
      </c>
      <c r="H506" s="47">
        <f>IF('Lançamento Diário'!H32="","",'Lançamento Diário'!H32)</f>
        <v>3</v>
      </c>
    </row>
    <row r="507" spans="2:8" x14ac:dyDescent="0.25">
      <c r="B507" s="71">
        <v>46241</v>
      </c>
      <c r="C507" s="72">
        <v>7</v>
      </c>
      <c r="D507" s="72" t="s">
        <v>102</v>
      </c>
      <c r="E507" s="73" t="s">
        <v>37</v>
      </c>
      <c r="F507" s="73" t="s">
        <v>46</v>
      </c>
      <c r="G507" s="72" t="s">
        <v>84</v>
      </c>
      <c r="H507" s="47">
        <f>IF('Lançamento Diário'!I32="","",'Lançamento Diário'!I32)</f>
        <v>4</v>
      </c>
    </row>
    <row r="508" spans="2:8" x14ac:dyDescent="0.25">
      <c r="B508" s="71">
        <v>46242</v>
      </c>
      <c r="C508" s="72">
        <v>8</v>
      </c>
      <c r="D508" s="72" t="s">
        <v>96</v>
      </c>
      <c r="E508" s="73" t="s">
        <v>37</v>
      </c>
      <c r="F508" s="73" t="s">
        <v>46</v>
      </c>
      <c r="G508" s="72" t="s">
        <v>84</v>
      </c>
      <c r="H508" s="47">
        <f>IF('Lançamento Diário'!J32="","",'Lançamento Diário'!J32)</f>
        <v>2</v>
      </c>
    </row>
    <row r="509" spans="2:8" x14ac:dyDescent="0.25">
      <c r="B509" s="71">
        <v>46243</v>
      </c>
      <c r="C509" s="72">
        <v>9</v>
      </c>
      <c r="D509" s="72" t="s">
        <v>97</v>
      </c>
      <c r="E509" s="73" t="s">
        <v>37</v>
      </c>
      <c r="F509" s="73" t="s">
        <v>46</v>
      </c>
      <c r="G509" s="72" t="s">
        <v>84</v>
      </c>
      <c r="H509" s="47">
        <f>IF('Lançamento Diário'!K32="","",'Lançamento Diário'!K32)</f>
        <v>0</v>
      </c>
    </row>
    <row r="510" spans="2:8" x14ac:dyDescent="0.25">
      <c r="B510" s="71">
        <v>46244</v>
      </c>
      <c r="C510" s="72">
        <v>10</v>
      </c>
      <c r="D510" s="72" t="s">
        <v>98</v>
      </c>
      <c r="E510" s="73" t="s">
        <v>37</v>
      </c>
      <c r="F510" s="73" t="s">
        <v>46</v>
      </c>
      <c r="G510" s="72" t="s">
        <v>84</v>
      </c>
      <c r="H510" s="47">
        <f>IF('Lançamento Diário'!L32="","",'Lançamento Diário'!L32)</f>
        <v>1</v>
      </c>
    </row>
    <row r="511" spans="2:8" x14ac:dyDescent="0.25">
      <c r="B511" s="71">
        <v>46245</v>
      </c>
      <c r="C511" s="72">
        <v>11</v>
      </c>
      <c r="D511" s="72" t="s">
        <v>99</v>
      </c>
      <c r="E511" s="73" t="s">
        <v>37</v>
      </c>
      <c r="F511" s="73" t="s">
        <v>46</v>
      </c>
      <c r="G511" s="72" t="s">
        <v>84</v>
      </c>
      <c r="H511" s="47">
        <f>IF('Lançamento Diário'!M32="","",'Lançamento Diário'!M32)</f>
        <v>3</v>
      </c>
    </row>
    <row r="512" spans="2:8" x14ac:dyDescent="0.25">
      <c r="B512" s="71">
        <v>46246</v>
      </c>
      <c r="C512" s="72">
        <v>12</v>
      </c>
      <c r="D512" s="72" t="s">
        <v>100</v>
      </c>
      <c r="E512" s="73" t="s">
        <v>37</v>
      </c>
      <c r="F512" s="73" t="s">
        <v>46</v>
      </c>
      <c r="G512" s="72" t="s">
        <v>84</v>
      </c>
      <c r="H512" s="47">
        <f>IF('Lançamento Diário'!N32="","",'Lançamento Diário'!N32)</f>
        <v>3</v>
      </c>
    </row>
    <row r="513" spans="2:8" x14ac:dyDescent="0.25">
      <c r="B513" s="71">
        <v>46247</v>
      </c>
      <c r="C513" s="72">
        <v>13</v>
      </c>
      <c r="D513" s="72" t="s">
        <v>101</v>
      </c>
      <c r="E513" s="73" t="s">
        <v>37</v>
      </c>
      <c r="F513" s="73" t="s">
        <v>46</v>
      </c>
      <c r="G513" s="72" t="s">
        <v>84</v>
      </c>
      <c r="H513" s="47">
        <f>IF('Lançamento Diário'!O32="","",'Lançamento Diário'!O32)</f>
        <v>3</v>
      </c>
    </row>
    <row r="514" spans="2:8" x14ac:dyDescent="0.25">
      <c r="B514" s="71">
        <v>46248</v>
      </c>
      <c r="C514" s="72">
        <v>14</v>
      </c>
      <c r="D514" s="72" t="s">
        <v>102</v>
      </c>
      <c r="E514" s="73" t="s">
        <v>37</v>
      </c>
      <c r="F514" s="73" t="s">
        <v>46</v>
      </c>
      <c r="G514" s="72" t="s">
        <v>84</v>
      </c>
      <c r="H514" s="47">
        <f>IF('Lançamento Diário'!P32="","",'Lançamento Diário'!P32)</f>
        <v>0</v>
      </c>
    </row>
    <row r="515" spans="2:8" x14ac:dyDescent="0.25">
      <c r="B515" s="71">
        <v>46249</v>
      </c>
      <c r="C515" s="72">
        <v>15</v>
      </c>
      <c r="D515" s="72" t="s">
        <v>96</v>
      </c>
      <c r="E515" s="73" t="s">
        <v>37</v>
      </c>
      <c r="F515" s="73" t="s">
        <v>46</v>
      </c>
      <c r="G515" s="72" t="s">
        <v>84</v>
      </c>
      <c r="H515" s="47">
        <f>IF('Lançamento Diário'!Q32="","",'Lançamento Diário'!Q32)</f>
        <v>4</v>
      </c>
    </row>
    <row r="516" spans="2:8" x14ac:dyDescent="0.25">
      <c r="B516" s="71">
        <v>46250</v>
      </c>
      <c r="C516" s="72">
        <v>16</v>
      </c>
      <c r="D516" s="72" t="s">
        <v>97</v>
      </c>
      <c r="E516" s="73" t="s">
        <v>37</v>
      </c>
      <c r="F516" s="73" t="s">
        <v>46</v>
      </c>
      <c r="G516" s="72" t="s">
        <v>84</v>
      </c>
      <c r="H516" s="47">
        <f>IF('Lançamento Diário'!R32="","",'Lançamento Diário'!R32)</f>
        <v>0</v>
      </c>
    </row>
    <row r="517" spans="2:8" x14ac:dyDescent="0.25">
      <c r="B517" s="71">
        <v>46251</v>
      </c>
      <c r="C517" s="72">
        <v>17</v>
      </c>
      <c r="D517" s="72" t="s">
        <v>98</v>
      </c>
      <c r="E517" s="73" t="s">
        <v>37</v>
      </c>
      <c r="F517" s="73" t="s">
        <v>46</v>
      </c>
      <c r="G517" s="72" t="s">
        <v>84</v>
      </c>
      <c r="H517" s="47">
        <f>IF('Lançamento Diário'!S32="","",'Lançamento Diário'!S32)</f>
        <v>3</v>
      </c>
    </row>
    <row r="518" spans="2:8" x14ac:dyDescent="0.25">
      <c r="B518" s="71">
        <v>46252</v>
      </c>
      <c r="C518" s="72">
        <v>18</v>
      </c>
      <c r="D518" s="72" t="s">
        <v>99</v>
      </c>
      <c r="E518" s="73" t="s">
        <v>37</v>
      </c>
      <c r="F518" s="73" t="s">
        <v>46</v>
      </c>
      <c r="G518" s="72" t="s">
        <v>84</v>
      </c>
      <c r="H518" s="47">
        <f>IF('Lançamento Diário'!T32="","",'Lançamento Diário'!T32)</f>
        <v>2</v>
      </c>
    </row>
    <row r="519" spans="2:8" x14ac:dyDescent="0.25">
      <c r="B519" s="71">
        <v>46253</v>
      </c>
      <c r="C519" s="72">
        <v>19</v>
      </c>
      <c r="D519" s="72" t="s">
        <v>100</v>
      </c>
      <c r="E519" s="73" t="s">
        <v>37</v>
      </c>
      <c r="F519" s="73" t="s">
        <v>46</v>
      </c>
      <c r="G519" s="72" t="s">
        <v>84</v>
      </c>
      <c r="H519" s="47">
        <f>IF('Lançamento Diário'!U32="","",'Lançamento Diário'!U32)</f>
        <v>2</v>
      </c>
    </row>
    <row r="520" spans="2:8" x14ac:dyDescent="0.25">
      <c r="B520" s="71">
        <v>46254</v>
      </c>
      <c r="C520" s="72">
        <v>20</v>
      </c>
      <c r="D520" s="72" t="s">
        <v>101</v>
      </c>
      <c r="E520" s="73" t="s">
        <v>37</v>
      </c>
      <c r="F520" s="73" t="s">
        <v>46</v>
      </c>
      <c r="G520" s="72" t="s">
        <v>84</v>
      </c>
      <c r="H520" s="47">
        <f>IF('Lançamento Diário'!V32="","",'Lançamento Diário'!V32)</f>
        <v>2</v>
      </c>
    </row>
    <row r="521" spans="2:8" x14ac:dyDescent="0.25">
      <c r="B521" s="71">
        <v>46255</v>
      </c>
      <c r="C521" s="72">
        <v>21</v>
      </c>
      <c r="D521" s="72" t="s">
        <v>102</v>
      </c>
      <c r="E521" s="73" t="s">
        <v>37</v>
      </c>
      <c r="F521" s="73" t="s">
        <v>46</v>
      </c>
      <c r="G521" s="72" t="s">
        <v>84</v>
      </c>
      <c r="H521" s="47">
        <f>IF('Lançamento Diário'!W32="","",'Lançamento Diário'!W32)</f>
        <v>0</v>
      </c>
    </row>
    <row r="522" spans="2:8" x14ac:dyDescent="0.25">
      <c r="B522" s="71">
        <v>46256</v>
      </c>
      <c r="C522" s="72">
        <v>22</v>
      </c>
      <c r="D522" s="72" t="s">
        <v>96</v>
      </c>
      <c r="E522" s="73" t="s">
        <v>37</v>
      </c>
      <c r="F522" s="73" t="s">
        <v>46</v>
      </c>
      <c r="G522" s="72" t="s">
        <v>84</v>
      </c>
      <c r="H522" s="47">
        <f>IF('Lançamento Diário'!X32="","",'Lançamento Diário'!X32)</f>
        <v>3</v>
      </c>
    </row>
    <row r="523" spans="2:8" x14ac:dyDescent="0.25">
      <c r="B523" s="71">
        <v>46257</v>
      </c>
      <c r="C523" s="72">
        <v>23</v>
      </c>
      <c r="D523" s="72" t="s">
        <v>97</v>
      </c>
      <c r="E523" s="73" t="s">
        <v>37</v>
      </c>
      <c r="F523" s="73" t="s">
        <v>46</v>
      </c>
      <c r="G523" s="72" t="s">
        <v>84</v>
      </c>
      <c r="H523" s="47">
        <f>IF('Lançamento Diário'!Y32="","",'Lançamento Diário'!Y32)</f>
        <v>0</v>
      </c>
    </row>
    <row r="524" spans="2:8" x14ac:dyDescent="0.25">
      <c r="B524" s="71">
        <v>46258</v>
      </c>
      <c r="C524" s="72">
        <v>24</v>
      </c>
      <c r="D524" s="72" t="s">
        <v>98</v>
      </c>
      <c r="E524" s="73" t="s">
        <v>37</v>
      </c>
      <c r="F524" s="73" t="s">
        <v>46</v>
      </c>
      <c r="G524" s="72" t="s">
        <v>84</v>
      </c>
      <c r="H524" s="47">
        <f>IF('Lançamento Diário'!Z32="","",'Lançamento Diário'!Z32)</f>
        <v>0</v>
      </c>
    </row>
    <row r="525" spans="2:8" x14ac:dyDescent="0.25">
      <c r="B525" s="71">
        <v>46259</v>
      </c>
      <c r="C525" s="72">
        <v>25</v>
      </c>
      <c r="D525" s="72" t="s">
        <v>99</v>
      </c>
      <c r="E525" s="73" t="s">
        <v>37</v>
      </c>
      <c r="F525" s="73" t="s">
        <v>46</v>
      </c>
      <c r="G525" s="72" t="s">
        <v>84</v>
      </c>
      <c r="H525" s="47">
        <f>IF('Lançamento Diário'!AA32="","",'Lançamento Diário'!AA32)</f>
        <v>2</v>
      </c>
    </row>
    <row r="526" spans="2:8" x14ac:dyDescent="0.25">
      <c r="B526" s="71">
        <v>46260</v>
      </c>
      <c r="C526" s="72">
        <v>26</v>
      </c>
      <c r="D526" s="72" t="s">
        <v>100</v>
      </c>
      <c r="E526" s="73" t="s">
        <v>37</v>
      </c>
      <c r="F526" s="73" t="s">
        <v>46</v>
      </c>
      <c r="G526" s="72" t="s">
        <v>84</v>
      </c>
      <c r="H526" s="47">
        <f>IF('Lançamento Diário'!AB32="","",'Lançamento Diário'!AB32)</f>
        <v>3</v>
      </c>
    </row>
    <row r="527" spans="2:8" x14ac:dyDescent="0.25">
      <c r="B527" s="71">
        <v>46261</v>
      </c>
      <c r="C527" s="72">
        <v>27</v>
      </c>
      <c r="D527" s="72" t="s">
        <v>101</v>
      </c>
      <c r="E527" s="73" t="s">
        <v>37</v>
      </c>
      <c r="F527" s="73" t="s">
        <v>46</v>
      </c>
      <c r="G527" s="72" t="s">
        <v>84</v>
      </c>
      <c r="H527" s="47">
        <f>IF('Lançamento Diário'!AC32="","",'Lançamento Diário'!AC32)</f>
        <v>1</v>
      </c>
    </row>
    <row r="528" spans="2:8" x14ac:dyDescent="0.25">
      <c r="B528" s="71">
        <v>46262</v>
      </c>
      <c r="C528" s="72">
        <v>28</v>
      </c>
      <c r="D528" s="72" t="s">
        <v>102</v>
      </c>
      <c r="E528" s="73" t="s">
        <v>37</v>
      </c>
      <c r="F528" s="73" t="s">
        <v>46</v>
      </c>
      <c r="G528" s="72" t="s">
        <v>84</v>
      </c>
      <c r="H528" s="47">
        <f>IF('Lançamento Diário'!AD32="","",'Lançamento Diário'!AD32)</f>
        <v>4</v>
      </c>
    </row>
    <row r="529" spans="2:8" x14ac:dyDescent="0.25">
      <c r="B529" s="71">
        <v>46263</v>
      </c>
      <c r="C529" s="72">
        <v>29</v>
      </c>
      <c r="D529" s="72" t="s">
        <v>96</v>
      </c>
      <c r="E529" s="73" t="s">
        <v>37</v>
      </c>
      <c r="F529" s="73" t="s">
        <v>46</v>
      </c>
      <c r="G529" s="72" t="s">
        <v>84</v>
      </c>
      <c r="H529" s="47">
        <f>IF('Lançamento Diário'!AE32="","",'Lançamento Diário'!AE32)</f>
        <v>0</v>
      </c>
    </row>
    <row r="530" spans="2:8" x14ac:dyDescent="0.25">
      <c r="B530" s="71">
        <v>46264</v>
      </c>
      <c r="C530" s="72">
        <v>30</v>
      </c>
      <c r="D530" s="72" t="s">
        <v>97</v>
      </c>
      <c r="E530" s="73" t="s">
        <v>37</v>
      </c>
      <c r="F530" s="73" t="s">
        <v>46</v>
      </c>
      <c r="G530" s="72" t="s">
        <v>84</v>
      </c>
      <c r="H530" s="47">
        <f>IF('Lançamento Diário'!AF32="","",'Lançamento Diário'!AF32)</f>
        <v>0</v>
      </c>
    </row>
    <row r="531" spans="2:8" x14ac:dyDescent="0.25">
      <c r="B531" s="71">
        <v>46265</v>
      </c>
      <c r="C531" s="72">
        <v>31</v>
      </c>
      <c r="D531" s="72" t="s">
        <v>98</v>
      </c>
      <c r="E531" s="73" t="s">
        <v>37</v>
      </c>
      <c r="F531" s="73" t="s">
        <v>46</v>
      </c>
      <c r="G531" s="72" t="s">
        <v>84</v>
      </c>
      <c r="H531" s="47">
        <f>IF('Lançamento Diário'!AG32="","",'Lançamento Diário'!AG32)</f>
        <v>0</v>
      </c>
    </row>
    <row r="532" spans="2:8" x14ac:dyDescent="0.25">
      <c r="B532" s="71">
        <v>46235</v>
      </c>
      <c r="C532" s="72">
        <v>1</v>
      </c>
      <c r="D532" s="72" t="s">
        <v>96</v>
      </c>
      <c r="E532" s="73" t="s">
        <v>37</v>
      </c>
      <c r="F532" s="73" t="s">
        <v>47</v>
      </c>
      <c r="G532" s="72" t="s">
        <v>85</v>
      </c>
      <c r="H532" s="47" t="str">
        <f>IF('Lançamento Diário'!C33="","",'Lançamento Diário'!C33)</f>
        <v/>
      </c>
    </row>
    <row r="533" spans="2:8" x14ac:dyDescent="0.25">
      <c r="B533" s="71">
        <v>46236</v>
      </c>
      <c r="C533" s="72">
        <v>2</v>
      </c>
      <c r="D533" s="72" t="s">
        <v>97</v>
      </c>
      <c r="E533" s="73" t="s">
        <v>37</v>
      </c>
      <c r="F533" s="73" t="s">
        <v>47</v>
      </c>
      <c r="G533" s="72" t="s">
        <v>85</v>
      </c>
      <c r="H533" s="47">
        <f>IF('Lançamento Diário'!D33="","",'Lançamento Diário'!D33)</f>
        <v>1</v>
      </c>
    </row>
    <row r="534" spans="2:8" x14ac:dyDescent="0.25">
      <c r="B534" s="71">
        <v>46237</v>
      </c>
      <c r="C534" s="72">
        <v>3</v>
      </c>
      <c r="D534" s="72" t="s">
        <v>98</v>
      </c>
      <c r="E534" s="73" t="s">
        <v>37</v>
      </c>
      <c r="F534" s="73" t="s">
        <v>47</v>
      </c>
      <c r="G534" s="72" t="s">
        <v>85</v>
      </c>
      <c r="H534" s="47">
        <f>IF('Lançamento Diário'!E33="","",'Lançamento Diário'!E33)</f>
        <v>0</v>
      </c>
    </row>
    <row r="535" spans="2:8" x14ac:dyDescent="0.25">
      <c r="B535" s="71">
        <v>46238</v>
      </c>
      <c r="C535" s="72">
        <v>4</v>
      </c>
      <c r="D535" s="72" t="s">
        <v>99</v>
      </c>
      <c r="E535" s="73" t="s">
        <v>37</v>
      </c>
      <c r="F535" s="73" t="s">
        <v>47</v>
      </c>
      <c r="G535" s="72" t="s">
        <v>85</v>
      </c>
      <c r="H535" s="47">
        <f>IF('Lançamento Diário'!F33="","",'Lançamento Diário'!F33)</f>
        <v>1</v>
      </c>
    </row>
    <row r="536" spans="2:8" x14ac:dyDescent="0.25">
      <c r="B536" s="71">
        <v>46239</v>
      </c>
      <c r="C536" s="72">
        <v>5</v>
      </c>
      <c r="D536" s="72" t="s">
        <v>100</v>
      </c>
      <c r="E536" s="73" t="s">
        <v>37</v>
      </c>
      <c r="F536" s="73" t="s">
        <v>47</v>
      </c>
      <c r="G536" s="72" t="s">
        <v>85</v>
      </c>
      <c r="H536" s="47">
        <f>IF('Lançamento Diário'!G33="","",'Lançamento Diário'!G33)</f>
        <v>1</v>
      </c>
    </row>
    <row r="537" spans="2:8" x14ac:dyDescent="0.25">
      <c r="B537" s="71">
        <v>46240</v>
      </c>
      <c r="C537" s="72">
        <v>6</v>
      </c>
      <c r="D537" s="72" t="s">
        <v>101</v>
      </c>
      <c r="E537" s="73" t="s">
        <v>37</v>
      </c>
      <c r="F537" s="73" t="s">
        <v>47</v>
      </c>
      <c r="G537" s="72" t="s">
        <v>85</v>
      </c>
      <c r="H537" s="47">
        <f>IF('Lançamento Diário'!H33="","",'Lançamento Diário'!H33)</f>
        <v>1</v>
      </c>
    </row>
    <row r="538" spans="2:8" x14ac:dyDescent="0.25">
      <c r="B538" s="71">
        <v>46241</v>
      </c>
      <c r="C538" s="72">
        <v>7</v>
      </c>
      <c r="D538" s="72" t="s">
        <v>102</v>
      </c>
      <c r="E538" s="73" t="s">
        <v>37</v>
      </c>
      <c r="F538" s="73" t="s">
        <v>47</v>
      </c>
      <c r="G538" s="72" t="s">
        <v>85</v>
      </c>
      <c r="H538" s="47">
        <f>IF('Lançamento Diário'!I33="","",'Lançamento Diário'!I33)</f>
        <v>0</v>
      </c>
    </row>
    <row r="539" spans="2:8" x14ac:dyDescent="0.25">
      <c r="B539" s="71">
        <v>46242</v>
      </c>
      <c r="C539" s="72">
        <v>8</v>
      </c>
      <c r="D539" s="72" t="s">
        <v>96</v>
      </c>
      <c r="E539" s="73" t="s">
        <v>37</v>
      </c>
      <c r="F539" s="73" t="s">
        <v>47</v>
      </c>
      <c r="G539" s="72" t="s">
        <v>85</v>
      </c>
      <c r="H539" s="47">
        <f>IF('Lançamento Diário'!J33="","",'Lançamento Diário'!J33)</f>
        <v>0</v>
      </c>
    </row>
    <row r="540" spans="2:8" x14ac:dyDescent="0.25">
      <c r="B540" s="71">
        <v>46243</v>
      </c>
      <c r="C540" s="72">
        <v>9</v>
      </c>
      <c r="D540" s="72" t="s">
        <v>97</v>
      </c>
      <c r="E540" s="73" t="s">
        <v>37</v>
      </c>
      <c r="F540" s="73" t="s">
        <v>47</v>
      </c>
      <c r="G540" s="72" t="s">
        <v>85</v>
      </c>
      <c r="H540" s="47">
        <f>IF('Lançamento Diário'!K33="","",'Lançamento Diário'!K33)</f>
        <v>0</v>
      </c>
    </row>
    <row r="541" spans="2:8" x14ac:dyDescent="0.25">
      <c r="B541" s="71">
        <v>46244</v>
      </c>
      <c r="C541" s="72">
        <v>10</v>
      </c>
      <c r="D541" s="72" t="s">
        <v>98</v>
      </c>
      <c r="E541" s="73" t="s">
        <v>37</v>
      </c>
      <c r="F541" s="73" t="s">
        <v>47</v>
      </c>
      <c r="G541" s="72" t="s">
        <v>85</v>
      </c>
      <c r="H541" s="47">
        <f>IF('Lançamento Diário'!L33="","",'Lançamento Diário'!L33)</f>
        <v>1</v>
      </c>
    </row>
    <row r="542" spans="2:8" x14ac:dyDescent="0.25">
      <c r="B542" s="71">
        <v>46245</v>
      </c>
      <c r="C542" s="72">
        <v>11</v>
      </c>
      <c r="D542" s="72" t="s">
        <v>99</v>
      </c>
      <c r="E542" s="73" t="s">
        <v>37</v>
      </c>
      <c r="F542" s="73" t="s">
        <v>47</v>
      </c>
      <c r="G542" s="72" t="s">
        <v>85</v>
      </c>
      <c r="H542" s="47">
        <f>IF('Lançamento Diário'!M33="","",'Lançamento Diário'!M33)</f>
        <v>0</v>
      </c>
    </row>
    <row r="543" spans="2:8" x14ac:dyDescent="0.25">
      <c r="B543" s="71">
        <v>46246</v>
      </c>
      <c r="C543" s="72">
        <v>12</v>
      </c>
      <c r="D543" s="72" t="s">
        <v>100</v>
      </c>
      <c r="E543" s="73" t="s">
        <v>37</v>
      </c>
      <c r="F543" s="73" t="s">
        <v>47</v>
      </c>
      <c r="G543" s="72" t="s">
        <v>85</v>
      </c>
      <c r="H543" s="47">
        <f>IF('Lançamento Diário'!N33="","",'Lançamento Diário'!N33)</f>
        <v>0</v>
      </c>
    </row>
    <row r="544" spans="2:8" x14ac:dyDescent="0.25">
      <c r="B544" s="71">
        <v>46247</v>
      </c>
      <c r="C544" s="72">
        <v>13</v>
      </c>
      <c r="D544" s="72" t="s">
        <v>101</v>
      </c>
      <c r="E544" s="73" t="s">
        <v>37</v>
      </c>
      <c r="F544" s="73" t="s">
        <v>47</v>
      </c>
      <c r="G544" s="72" t="s">
        <v>85</v>
      </c>
      <c r="H544" s="47">
        <f>IF('Lançamento Diário'!O33="","",'Lançamento Diário'!O33)</f>
        <v>1</v>
      </c>
    </row>
    <row r="545" spans="2:8" x14ac:dyDescent="0.25">
      <c r="B545" s="71">
        <v>46248</v>
      </c>
      <c r="C545" s="72">
        <v>14</v>
      </c>
      <c r="D545" s="72" t="s">
        <v>102</v>
      </c>
      <c r="E545" s="73" t="s">
        <v>37</v>
      </c>
      <c r="F545" s="73" t="s">
        <v>47</v>
      </c>
      <c r="G545" s="72" t="s">
        <v>85</v>
      </c>
      <c r="H545" s="47">
        <f>IF('Lançamento Diário'!P33="","",'Lançamento Diário'!P33)</f>
        <v>0</v>
      </c>
    </row>
    <row r="546" spans="2:8" x14ac:dyDescent="0.25">
      <c r="B546" s="71">
        <v>46249</v>
      </c>
      <c r="C546" s="72">
        <v>15</v>
      </c>
      <c r="D546" s="72" t="s">
        <v>96</v>
      </c>
      <c r="E546" s="73" t="s">
        <v>37</v>
      </c>
      <c r="F546" s="73" t="s">
        <v>47</v>
      </c>
      <c r="G546" s="72" t="s">
        <v>85</v>
      </c>
      <c r="H546" s="47">
        <f>IF('Lançamento Diário'!Q33="","",'Lançamento Diário'!Q33)</f>
        <v>0</v>
      </c>
    </row>
    <row r="547" spans="2:8" x14ac:dyDescent="0.25">
      <c r="B547" s="71">
        <v>46250</v>
      </c>
      <c r="C547" s="72">
        <v>16</v>
      </c>
      <c r="D547" s="72" t="s">
        <v>97</v>
      </c>
      <c r="E547" s="73" t="s">
        <v>37</v>
      </c>
      <c r="F547" s="73" t="s">
        <v>47</v>
      </c>
      <c r="G547" s="72" t="s">
        <v>85</v>
      </c>
      <c r="H547" s="47">
        <f>IF('Lançamento Diário'!R33="","",'Lançamento Diário'!R33)</f>
        <v>0</v>
      </c>
    </row>
    <row r="548" spans="2:8" x14ac:dyDescent="0.25">
      <c r="B548" s="71">
        <v>46251</v>
      </c>
      <c r="C548" s="72">
        <v>17</v>
      </c>
      <c r="D548" s="72" t="s">
        <v>98</v>
      </c>
      <c r="E548" s="73" t="s">
        <v>37</v>
      </c>
      <c r="F548" s="73" t="s">
        <v>47</v>
      </c>
      <c r="G548" s="72" t="s">
        <v>85</v>
      </c>
      <c r="H548" s="47">
        <f>IF('Lançamento Diário'!S33="","",'Lançamento Diário'!S33)</f>
        <v>1</v>
      </c>
    </row>
    <row r="549" spans="2:8" x14ac:dyDescent="0.25">
      <c r="B549" s="71">
        <v>46252</v>
      </c>
      <c r="C549" s="72">
        <v>18</v>
      </c>
      <c r="D549" s="72" t="s">
        <v>99</v>
      </c>
      <c r="E549" s="73" t="s">
        <v>37</v>
      </c>
      <c r="F549" s="73" t="s">
        <v>47</v>
      </c>
      <c r="G549" s="72" t="s">
        <v>85</v>
      </c>
      <c r="H549" s="47">
        <f>IF('Lançamento Diário'!T33="","",'Lançamento Diário'!T33)</f>
        <v>0</v>
      </c>
    </row>
    <row r="550" spans="2:8" x14ac:dyDescent="0.25">
      <c r="B550" s="71">
        <v>46253</v>
      </c>
      <c r="C550" s="72">
        <v>19</v>
      </c>
      <c r="D550" s="72" t="s">
        <v>100</v>
      </c>
      <c r="E550" s="73" t="s">
        <v>37</v>
      </c>
      <c r="F550" s="73" t="s">
        <v>47</v>
      </c>
      <c r="G550" s="72" t="s">
        <v>85</v>
      </c>
      <c r="H550" s="47">
        <f>IF('Lançamento Diário'!U33="","",'Lançamento Diário'!U33)</f>
        <v>0</v>
      </c>
    </row>
    <row r="551" spans="2:8" x14ac:dyDescent="0.25">
      <c r="B551" s="71">
        <v>46254</v>
      </c>
      <c r="C551" s="72">
        <v>20</v>
      </c>
      <c r="D551" s="72" t="s">
        <v>101</v>
      </c>
      <c r="E551" s="73" t="s">
        <v>37</v>
      </c>
      <c r="F551" s="73" t="s">
        <v>47</v>
      </c>
      <c r="G551" s="72" t="s">
        <v>85</v>
      </c>
      <c r="H551" s="47">
        <f>IF('Lançamento Diário'!V33="","",'Lançamento Diário'!V33)</f>
        <v>1</v>
      </c>
    </row>
    <row r="552" spans="2:8" x14ac:dyDescent="0.25">
      <c r="B552" s="71">
        <v>46255</v>
      </c>
      <c r="C552" s="72">
        <v>21</v>
      </c>
      <c r="D552" s="72" t="s">
        <v>102</v>
      </c>
      <c r="E552" s="73" t="s">
        <v>37</v>
      </c>
      <c r="F552" s="73" t="s">
        <v>47</v>
      </c>
      <c r="G552" s="72" t="s">
        <v>85</v>
      </c>
      <c r="H552" s="47">
        <f>IF('Lançamento Diário'!W33="","",'Lançamento Diário'!W33)</f>
        <v>0</v>
      </c>
    </row>
    <row r="553" spans="2:8" x14ac:dyDescent="0.25">
      <c r="B553" s="71">
        <v>46256</v>
      </c>
      <c r="C553" s="72">
        <v>22</v>
      </c>
      <c r="D553" s="72" t="s">
        <v>96</v>
      </c>
      <c r="E553" s="73" t="s">
        <v>37</v>
      </c>
      <c r="F553" s="73" t="s">
        <v>47</v>
      </c>
      <c r="G553" s="72" t="s">
        <v>85</v>
      </c>
      <c r="H553" s="47">
        <f>IF('Lançamento Diário'!X33="","",'Lançamento Diário'!X33)</f>
        <v>0</v>
      </c>
    </row>
    <row r="554" spans="2:8" x14ac:dyDescent="0.25">
      <c r="B554" s="71">
        <v>46257</v>
      </c>
      <c r="C554" s="72">
        <v>23</v>
      </c>
      <c r="D554" s="72" t="s">
        <v>97</v>
      </c>
      <c r="E554" s="73" t="s">
        <v>37</v>
      </c>
      <c r="F554" s="73" t="s">
        <v>47</v>
      </c>
      <c r="G554" s="72" t="s">
        <v>85</v>
      </c>
      <c r="H554" s="47">
        <f>IF('Lançamento Diário'!Y33="","",'Lançamento Diário'!Y33)</f>
        <v>0</v>
      </c>
    </row>
    <row r="555" spans="2:8" x14ac:dyDescent="0.25">
      <c r="B555" s="71">
        <v>46258</v>
      </c>
      <c r="C555" s="72">
        <v>24</v>
      </c>
      <c r="D555" s="72" t="s">
        <v>98</v>
      </c>
      <c r="E555" s="73" t="s">
        <v>37</v>
      </c>
      <c r="F555" s="73" t="s">
        <v>47</v>
      </c>
      <c r="G555" s="72" t="s">
        <v>85</v>
      </c>
      <c r="H555" s="47">
        <f>IF('Lançamento Diário'!Z33="","",'Lançamento Diário'!Z33)</f>
        <v>0</v>
      </c>
    </row>
    <row r="556" spans="2:8" x14ac:dyDescent="0.25">
      <c r="B556" s="71">
        <v>46259</v>
      </c>
      <c r="C556" s="72">
        <v>25</v>
      </c>
      <c r="D556" s="72" t="s">
        <v>99</v>
      </c>
      <c r="E556" s="73" t="s">
        <v>37</v>
      </c>
      <c r="F556" s="73" t="s">
        <v>47</v>
      </c>
      <c r="G556" s="72" t="s">
        <v>85</v>
      </c>
      <c r="H556" s="47">
        <f>IF('Lançamento Diário'!AA33="","",'Lançamento Diário'!AA33)</f>
        <v>0</v>
      </c>
    </row>
    <row r="557" spans="2:8" x14ac:dyDescent="0.25">
      <c r="B557" s="71">
        <v>46260</v>
      </c>
      <c r="C557" s="72">
        <v>26</v>
      </c>
      <c r="D557" s="72" t="s">
        <v>100</v>
      </c>
      <c r="E557" s="73" t="s">
        <v>37</v>
      </c>
      <c r="F557" s="73" t="s">
        <v>47</v>
      </c>
      <c r="G557" s="72" t="s">
        <v>85</v>
      </c>
      <c r="H557" s="47">
        <f>IF('Lançamento Diário'!AB33="","",'Lançamento Diário'!AB33)</f>
        <v>0</v>
      </c>
    </row>
    <row r="558" spans="2:8" x14ac:dyDescent="0.25">
      <c r="B558" s="71">
        <v>46261</v>
      </c>
      <c r="C558" s="72">
        <v>27</v>
      </c>
      <c r="D558" s="72" t="s">
        <v>101</v>
      </c>
      <c r="E558" s="73" t="s">
        <v>37</v>
      </c>
      <c r="F558" s="73" t="s">
        <v>47</v>
      </c>
      <c r="G558" s="72" t="s">
        <v>85</v>
      </c>
      <c r="H558" s="47">
        <f>IF('Lançamento Diário'!AC33="","",'Lançamento Diário'!AC33)</f>
        <v>0</v>
      </c>
    </row>
    <row r="559" spans="2:8" x14ac:dyDescent="0.25">
      <c r="B559" s="71">
        <v>46262</v>
      </c>
      <c r="C559" s="72">
        <v>28</v>
      </c>
      <c r="D559" s="72" t="s">
        <v>102</v>
      </c>
      <c r="E559" s="73" t="s">
        <v>37</v>
      </c>
      <c r="F559" s="73" t="s">
        <v>47</v>
      </c>
      <c r="G559" s="72" t="s">
        <v>85</v>
      </c>
      <c r="H559" s="47">
        <f>IF('Lançamento Diário'!AD33="","",'Lançamento Diário'!AD33)</f>
        <v>0</v>
      </c>
    </row>
    <row r="560" spans="2:8" x14ac:dyDescent="0.25">
      <c r="B560" s="71">
        <v>46263</v>
      </c>
      <c r="C560" s="72">
        <v>29</v>
      </c>
      <c r="D560" s="72" t="s">
        <v>96</v>
      </c>
      <c r="E560" s="73" t="s">
        <v>37</v>
      </c>
      <c r="F560" s="73" t="s">
        <v>47</v>
      </c>
      <c r="G560" s="72" t="s">
        <v>85</v>
      </c>
      <c r="H560" s="47">
        <f>IF('Lançamento Diário'!AE33="","",'Lançamento Diário'!AE33)</f>
        <v>0</v>
      </c>
    </row>
    <row r="561" spans="2:8" x14ac:dyDescent="0.25">
      <c r="B561" s="71">
        <v>46264</v>
      </c>
      <c r="C561" s="72">
        <v>30</v>
      </c>
      <c r="D561" s="72" t="s">
        <v>97</v>
      </c>
      <c r="E561" s="73" t="s">
        <v>37</v>
      </c>
      <c r="F561" s="73" t="s">
        <v>47</v>
      </c>
      <c r="G561" s="72" t="s">
        <v>85</v>
      </c>
      <c r="H561" s="47">
        <f>IF('Lançamento Diário'!AF33="","",'Lançamento Diário'!AF33)</f>
        <v>0</v>
      </c>
    </row>
    <row r="562" spans="2:8" x14ac:dyDescent="0.25">
      <c r="B562" s="71">
        <v>46265</v>
      </c>
      <c r="C562" s="72">
        <v>31</v>
      </c>
      <c r="D562" s="72" t="s">
        <v>98</v>
      </c>
      <c r="E562" s="73" t="s">
        <v>37</v>
      </c>
      <c r="F562" s="73" t="s">
        <v>47</v>
      </c>
      <c r="G562" s="72" t="s">
        <v>85</v>
      </c>
      <c r="H562" s="47">
        <f>IF('Lançamento Diário'!AG33="","",'Lançamento Diário'!AG33)</f>
        <v>0</v>
      </c>
    </row>
    <row r="563" spans="2:8" x14ac:dyDescent="0.25">
      <c r="B563" s="71">
        <v>46235</v>
      </c>
      <c r="C563" s="72">
        <v>1</v>
      </c>
      <c r="D563" s="72" t="s">
        <v>96</v>
      </c>
      <c r="E563" s="73" t="s">
        <v>37</v>
      </c>
      <c r="F563" s="73" t="s">
        <v>48</v>
      </c>
      <c r="G563" s="72" t="s">
        <v>85</v>
      </c>
      <c r="H563" s="47">
        <f>IF('Lançamento Diário'!C34="","",'Lançamento Diário'!C34)</f>
        <v>1</v>
      </c>
    </row>
    <row r="564" spans="2:8" x14ac:dyDescent="0.25">
      <c r="B564" s="71">
        <v>46236</v>
      </c>
      <c r="C564" s="72">
        <v>2</v>
      </c>
      <c r="D564" s="72" t="s">
        <v>97</v>
      </c>
      <c r="E564" s="73" t="s">
        <v>37</v>
      </c>
      <c r="F564" s="73" t="s">
        <v>48</v>
      </c>
      <c r="G564" s="72" t="s">
        <v>85</v>
      </c>
      <c r="H564" s="47">
        <f>IF('Lançamento Diário'!D34="","",'Lançamento Diário'!D34)</f>
        <v>1</v>
      </c>
    </row>
    <row r="565" spans="2:8" x14ac:dyDescent="0.25">
      <c r="B565" s="71">
        <v>46237</v>
      </c>
      <c r="C565" s="72">
        <v>3</v>
      </c>
      <c r="D565" s="72" t="s">
        <v>98</v>
      </c>
      <c r="E565" s="73" t="s">
        <v>37</v>
      </c>
      <c r="F565" s="73" t="s">
        <v>48</v>
      </c>
      <c r="G565" s="72" t="s">
        <v>85</v>
      </c>
      <c r="H565" s="47">
        <f>IF('Lançamento Diário'!E34="","",'Lançamento Diário'!E34)</f>
        <v>11</v>
      </c>
    </row>
    <row r="566" spans="2:8" x14ac:dyDescent="0.25">
      <c r="B566" s="71">
        <v>46238</v>
      </c>
      <c r="C566" s="72">
        <v>4</v>
      </c>
      <c r="D566" s="72" t="s">
        <v>99</v>
      </c>
      <c r="E566" s="73" t="s">
        <v>37</v>
      </c>
      <c r="F566" s="73" t="s">
        <v>48</v>
      </c>
      <c r="G566" s="72" t="s">
        <v>85</v>
      </c>
      <c r="H566" s="47">
        <f>IF('Lançamento Diário'!F34="","",'Lançamento Diário'!F34)</f>
        <v>9</v>
      </c>
    </row>
    <row r="567" spans="2:8" x14ac:dyDescent="0.25">
      <c r="B567" s="71">
        <v>46239</v>
      </c>
      <c r="C567" s="72">
        <v>5</v>
      </c>
      <c r="D567" s="72" t="s">
        <v>100</v>
      </c>
      <c r="E567" s="73" t="s">
        <v>37</v>
      </c>
      <c r="F567" s="73" t="s">
        <v>48</v>
      </c>
      <c r="G567" s="72" t="s">
        <v>85</v>
      </c>
      <c r="H567" s="47">
        <f>IF('Lançamento Diário'!G34="","",'Lançamento Diário'!G34)</f>
        <v>9</v>
      </c>
    </row>
    <row r="568" spans="2:8" x14ac:dyDescent="0.25">
      <c r="B568" s="71">
        <v>46240</v>
      </c>
      <c r="C568" s="72">
        <v>6</v>
      </c>
      <c r="D568" s="72" t="s">
        <v>101</v>
      </c>
      <c r="E568" s="73" t="s">
        <v>37</v>
      </c>
      <c r="F568" s="73" t="s">
        <v>48</v>
      </c>
      <c r="G568" s="72" t="s">
        <v>85</v>
      </c>
      <c r="H568" s="47">
        <f>IF('Lançamento Diário'!H34="","",'Lançamento Diário'!H34)</f>
        <v>12</v>
      </c>
    </row>
    <row r="569" spans="2:8" x14ac:dyDescent="0.25">
      <c r="B569" s="71">
        <v>46241</v>
      </c>
      <c r="C569" s="72">
        <v>7</v>
      </c>
      <c r="D569" s="72" t="s">
        <v>102</v>
      </c>
      <c r="E569" s="73" t="s">
        <v>37</v>
      </c>
      <c r="F569" s="73" t="s">
        <v>48</v>
      </c>
      <c r="G569" s="72" t="s">
        <v>85</v>
      </c>
      <c r="H569" s="47">
        <f>IF('Lançamento Diário'!I34="","",'Lançamento Diário'!I34)</f>
        <v>12</v>
      </c>
    </row>
    <row r="570" spans="2:8" x14ac:dyDescent="0.25">
      <c r="B570" s="71">
        <v>46242</v>
      </c>
      <c r="C570" s="72">
        <v>8</v>
      </c>
      <c r="D570" s="72" t="s">
        <v>96</v>
      </c>
      <c r="E570" s="73" t="s">
        <v>37</v>
      </c>
      <c r="F570" s="73" t="s">
        <v>48</v>
      </c>
      <c r="G570" s="72" t="s">
        <v>85</v>
      </c>
      <c r="H570" s="47">
        <f>IF('Lançamento Diário'!J34="","",'Lançamento Diário'!J34)</f>
        <v>5</v>
      </c>
    </row>
    <row r="571" spans="2:8" x14ac:dyDescent="0.25">
      <c r="B571" s="71">
        <v>46243</v>
      </c>
      <c r="C571" s="72">
        <v>9</v>
      </c>
      <c r="D571" s="72" t="s">
        <v>97</v>
      </c>
      <c r="E571" s="73" t="s">
        <v>37</v>
      </c>
      <c r="F571" s="73" t="s">
        <v>48</v>
      </c>
      <c r="G571" s="72" t="s">
        <v>85</v>
      </c>
      <c r="H571" s="47">
        <f>IF('Lançamento Diário'!K34="","",'Lançamento Diário'!K34)</f>
        <v>0</v>
      </c>
    </row>
    <row r="572" spans="2:8" x14ac:dyDescent="0.25">
      <c r="B572" s="71">
        <v>46244</v>
      </c>
      <c r="C572" s="72">
        <v>10</v>
      </c>
      <c r="D572" s="72" t="s">
        <v>98</v>
      </c>
      <c r="E572" s="73" t="s">
        <v>37</v>
      </c>
      <c r="F572" s="73" t="s">
        <v>48</v>
      </c>
      <c r="G572" s="72" t="s">
        <v>85</v>
      </c>
      <c r="H572" s="47">
        <f>IF('Lançamento Diário'!L34="","",'Lançamento Diário'!L34)</f>
        <v>7</v>
      </c>
    </row>
    <row r="573" spans="2:8" x14ac:dyDescent="0.25">
      <c r="B573" s="71">
        <v>46245</v>
      </c>
      <c r="C573" s="72">
        <v>11</v>
      </c>
      <c r="D573" s="72" t="s">
        <v>99</v>
      </c>
      <c r="E573" s="73" t="s">
        <v>37</v>
      </c>
      <c r="F573" s="73" t="s">
        <v>48</v>
      </c>
      <c r="G573" s="72" t="s">
        <v>85</v>
      </c>
      <c r="H573" s="47">
        <f>IF('Lançamento Diário'!M34="","",'Lançamento Diário'!M34)</f>
        <v>5</v>
      </c>
    </row>
    <row r="574" spans="2:8" x14ac:dyDescent="0.25">
      <c r="B574" s="71">
        <v>46246</v>
      </c>
      <c r="C574" s="72">
        <v>12</v>
      </c>
      <c r="D574" s="72" t="s">
        <v>100</v>
      </c>
      <c r="E574" s="73" t="s">
        <v>37</v>
      </c>
      <c r="F574" s="73" t="s">
        <v>48</v>
      </c>
      <c r="G574" s="72" t="s">
        <v>85</v>
      </c>
      <c r="H574" s="47">
        <f>IF('Lançamento Diário'!N34="","",'Lançamento Diário'!N34)</f>
        <v>9</v>
      </c>
    </row>
    <row r="575" spans="2:8" x14ac:dyDescent="0.25">
      <c r="B575" s="71">
        <v>46247</v>
      </c>
      <c r="C575" s="72">
        <v>13</v>
      </c>
      <c r="D575" s="72" t="s">
        <v>101</v>
      </c>
      <c r="E575" s="73" t="s">
        <v>37</v>
      </c>
      <c r="F575" s="73" t="s">
        <v>48</v>
      </c>
      <c r="G575" s="72" t="s">
        <v>85</v>
      </c>
      <c r="H575" s="47">
        <f>IF('Lançamento Diário'!O34="","",'Lançamento Diário'!O34)</f>
        <v>4</v>
      </c>
    </row>
    <row r="576" spans="2:8" x14ac:dyDescent="0.25">
      <c r="B576" s="71">
        <v>46248</v>
      </c>
      <c r="C576" s="72">
        <v>14</v>
      </c>
      <c r="D576" s="72" t="s">
        <v>102</v>
      </c>
      <c r="E576" s="73" t="s">
        <v>37</v>
      </c>
      <c r="F576" s="73" t="s">
        <v>48</v>
      </c>
      <c r="G576" s="72" t="s">
        <v>85</v>
      </c>
      <c r="H576" s="47">
        <f>IF('Lançamento Diário'!P34="","",'Lançamento Diário'!P34)</f>
        <v>8</v>
      </c>
    </row>
    <row r="577" spans="2:8" x14ac:dyDescent="0.25">
      <c r="B577" s="71">
        <v>46249</v>
      </c>
      <c r="C577" s="72">
        <v>15</v>
      </c>
      <c r="D577" s="72" t="s">
        <v>96</v>
      </c>
      <c r="E577" s="73" t="s">
        <v>37</v>
      </c>
      <c r="F577" s="73" t="s">
        <v>48</v>
      </c>
      <c r="G577" s="72" t="s">
        <v>85</v>
      </c>
      <c r="H577" s="47">
        <f>IF('Lançamento Diário'!Q34="","",'Lançamento Diário'!Q34)</f>
        <v>2</v>
      </c>
    </row>
    <row r="578" spans="2:8" x14ac:dyDescent="0.25">
      <c r="B578" s="71">
        <v>46250</v>
      </c>
      <c r="C578" s="72">
        <v>16</v>
      </c>
      <c r="D578" s="72" t="s">
        <v>97</v>
      </c>
      <c r="E578" s="73" t="s">
        <v>37</v>
      </c>
      <c r="F578" s="73" t="s">
        <v>48</v>
      </c>
      <c r="G578" s="72" t="s">
        <v>85</v>
      </c>
      <c r="H578" s="47">
        <f>IF('Lançamento Diário'!R34="","",'Lançamento Diário'!R34)</f>
        <v>0</v>
      </c>
    </row>
    <row r="579" spans="2:8" x14ac:dyDescent="0.25">
      <c r="B579" s="71">
        <v>46251</v>
      </c>
      <c r="C579" s="72">
        <v>17</v>
      </c>
      <c r="D579" s="72" t="s">
        <v>98</v>
      </c>
      <c r="E579" s="73" t="s">
        <v>37</v>
      </c>
      <c r="F579" s="73" t="s">
        <v>48</v>
      </c>
      <c r="G579" s="72" t="s">
        <v>85</v>
      </c>
      <c r="H579" s="47">
        <f>IF('Lançamento Diário'!S34="","",'Lançamento Diário'!S34)</f>
        <v>8</v>
      </c>
    </row>
    <row r="580" spans="2:8" x14ac:dyDescent="0.25">
      <c r="B580" s="71">
        <v>46252</v>
      </c>
      <c r="C580" s="72">
        <v>18</v>
      </c>
      <c r="D580" s="72" t="s">
        <v>99</v>
      </c>
      <c r="E580" s="73" t="s">
        <v>37</v>
      </c>
      <c r="F580" s="73" t="s">
        <v>48</v>
      </c>
      <c r="G580" s="72" t="s">
        <v>85</v>
      </c>
      <c r="H580" s="47">
        <f>IF('Lançamento Diário'!T34="","",'Lançamento Diário'!T34)</f>
        <v>6</v>
      </c>
    </row>
    <row r="581" spans="2:8" x14ac:dyDescent="0.25">
      <c r="B581" s="71">
        <v>46253</v>
      </c>
      <c r="C581" s="72">
        <v>19</v>
      </c>
      <c r="D581" s="72" t="s">
        <v>100</v>
      </c>
      <c r="E581" s="73" t="s">
        <v>37</v>
      </c>
      <c r="F581" s="73" t="s">
        <v>48</v>
      </c>
      <c r="G581" s="72" t="s">
        <v>85</v>
      </c>
      <c r="H581" s="47">
        <f>IF('Lançamento Diário'!U34="","",'Lançamento Diário'!U34)</f>
        <v>3</v>
      </c>
    </row>
    <row r="582" spans="2:8" x14ac:dyDescent="0.25">
      <c r="B582" s="71">
        <v>46254</v>
      </c>
      <c r="C582" s="72">
        <v>20</v>
      </c>
      <c r="D582" s="72" t="s">
        <v>101</v>
      </c>
      <c r="E582" s="73" t="s">
        <v>37</v>
      </c>
      <c r="F582" s="73" t="s">
        <v>48</v>
      </c>
      <c r="G582" s="72" t="s">
        <v>85</v>
      </c>
      <c r="H582" s="47">
        <f>IF('Lançamento Diário'!V34="","",'Lançamento Diário'!V34)</f>
        <v>5</v>
      </c>
    </row>
    <row r="583" spans="2:8" x14ac:dyDescent="0.25">
      <c r="B583" s="71">
        <v>46255</v>
      </c>
      <c r="C583" s="72">
        <v>21</v>
      </c>
      <c r="D583" s="72" t="s">
        <v>102</v>
      </c>
      <c r="E583" s="73" t="s">
        <v>37</v>
      </c>
      <c r="F583" s="73" t="s">
        <v>48</v>
      </c>
      <c r="G583" s="72" t="s">
        <v>85</v>
      </c>
      <c r="H583" s="47">
        <f>IF('Lançamento Diário'!W34="","",'Lançamento Diário'!W34)</f>
        <v>6</v>
      </c>
    </row>
    <row r="584" spans="2:8" x14ac:dyDescent="0.25">
      <c r="B584" s="71">
        <v>46256</v>
      </c>
      <c r="C584" s="72">
        <v>22</v>
      </c>
      <c r="D584" s="72" t="s">
        <v>96</v>
      </c>
      <c r="E584" s="73" t="s">
        <v>37</v>
      </c>
      <c r="F584" s="73" t="s">
        <v>48</v>
      </c>
      <c r="G584" s="72" t="s">
        <v>85</v>
      </c>
      <c r="H584" s="47">
        <f>IF('Lançamento Diário'!X34="","",'Lançamento Diário'!X34)</f>
        <v>7</v>
      </c>
    </row>
    <row r="585" spans="2:8" x14ac:dyDescent="0.25">
      <c r="B585" s="71">
        <v>46257</v>
      </c>
      <c r="C585" s="72">
        <v>23</v>
      </c>
      <c r="D585" s="72" t="s">
        <v>97</v>
      </c>
      <c r="E585" s="73" t="s">
        <v>37</v>
      </c>
      <c r="F585" s="73" t="s">
        <v>48</v>
      </c>
      <c r="G585" s="72" t="s">
        <v>85</v>
      </c>
      <c r="H585" s="47">
        <f>IF('Lançamento Diário'!Y34="","",'Lançamento Diário'!Y34)</f>
        <v>0</v>
      </c>
    </row>
    <row r="586" spans="2:8" x14ac:dyDescent="0.25">
      <c r="B586" s="71">
        <v>46258</v>
      </c>
      <c r="C586" s="72">
        <v>24</v>
      </c>
      <c r="D586" s="72" t="s">
        <v>98</v>
      </c>
      <c r="E586" s="73" t="s">
        <v>37</v>
      </c>
      <c r="F586" s="73" t="s">
        <v>48</v>
      </c>
      <c r="G586" s="72" t="s">
        <v>85</v>
      </c>
      <c r="H586" s="47">
        <f>IF('Lançamento Diário'!Z34="","",'Lançamento Diário'!Z34)</f>
        <v>10</v>
      </c>
    </row>
    <row r="587" spans="2:8" x14ac:dyDescent="0.25">
      <c r="B587" s="71">
        <v>46259</v>
      </c>
      <c r="C587" s="72">
        <v>25</v>
      </c>
      <c r="D587" s="72" t="s">
        <v>99</v>
      </c>
      <c r="E587" s="73" t="s">
        <v>37</v>
      </c>
      <c r="F587" s="73" t="s">
        <v>48</v>
      </c>
      <c r="G587" s="72" t="s">
        <v>85</v>
      </c>
      <c r="H587" s="47">
        <f>IF('Lançamento Diário'!AA34="","",'Lançamento Diário'!AA34)</f>
        <v>5</v>
      </c>
    </row>
    <row r="588" spans="2:8" x14ac:dyDescent="0.25">
      <c r="B588" s="71">
        <v>46260</v>
      </c>
      <c r="C588" s="72">
        <v>26</v>
      </c>
      <c r="D588" s="72" t="s">
        <v>100</v>
      </c>
      <c r="E588" s="73" t="s">
        <v>37</v>
      </c>
      <c r="F588" s="73" t="s">
        <v>48</v>
      </c>
      <c r="G588" s="72" t="s">
        <v>85</v>
      </c>
      <c r="H588" s="47">
        <f>IF('Lançamento Diário'!AB34="","",'Lançamento Diário'!AB34)</f>
        <v>1</v>
      </c>
    </row>
    <row r="589" spans="2:8" x14ac:dyDescent="0.25">
      <c r="B589" s="71">
        <v>46261</v>
      </c>
      <c r="C589" s="72">
        <v>27</v>
      </c>
      <c r="D589" s="72" t="s">
        <v>101</v>
      </c>
      <c r="E589" s="73" t="s">
        <v>37</v>
      </c>
      <c r="F589" s="73" t="s">
        <v>48</v>
      </c>
      <c r="G589" s="72" t="s">
        <v>85</v>
      </c>
      <c r="H589" s="47">
        <f>IF('Lançamento Diário'!AC34="","",'Lançamento Diário'!AC34)</f>
        <v>3</v>
      </c>
    </row>
    <row r="590" spans="2:8" x14ac:dyDescent="0.25">
      <c r="B590" s="71">
        <v>46262</v>
      </c>
      <c r="C590" s="72">
        <v>28</v>
      </c>
      <c r="D590" s="72" t="s">
        <v>102</v>
      </c>
      <c r="E590" s="73" t="s">
        <v>37</v>
      </c>
      <c r="F590" s="73" t="s">
        <v>48</v>
      </c>
      <c r="G590" s="72" t="s">
        <v>85</v>
      </c>
      <c r="H590" s="47">
        <f>IF('Lançamento Diário'!AD34="","",'Lançamento Diário'!AD34)</f>
        <v>4</v>
      </c>
    </row>
    <row r="591" spans="2:8" x14ac:dyDescent="0.25">
      <c r="B591" s="71">
        <v>46263</v>
      </c>
      <c r="C591" s="72">
        <v>29</v>
      </c>
      <c r="D591" s="72" t="s">
        <v>96</v>
      </c>
      <c r="E591" s="73" t="s">
        <v>37</v>
      </c>
      <c r="F591" s="73" t="s">
        <v>48</v>
      </c>
      <c r="G591" s="72" t="s">
        <v>85</v>
      </c>
      <c r="H591" s="47">
        <f>IF('Lançamento Diário'!AE34="","",'Lançamento Diário'!AE34)</f>
        <v>3</v>
      </c>
    </row>
    <row r="592" spans="2:8" x14ac:dyDescent="0.25">
      <c r="B592" s="71">
        <v>46264</v>
      </c>
      <c r="C592" s="72">
        <v>30</v>
      </c>
      <c r="D592" s="72" t="s">
        <v>97</v>
      </c>
      <c r="E592" s="73" t="s">
        <v>37</v>
      </c>
      <c r="F592" s="73" t="s">
        <v>48</v>
      </c>
      <c r="G592" s="72" t="s">
        <v>85</v>
      </c>
      <c r="H592" s="47">
        <f>IF('Lançamento Diário'!AF34="","",'Lançamento Diário'!AF34)</f>
        <v>0</v>
      </c>
    </row>
    <row r="593" spans="2:8" x14ac:dyDescent="0.25">
      <c r="B593" s="71">
        <v>46265</v>
      </c>
      <c r="C593" s="72">
        <v>31</v>
      </c>
      <c r="D593" s="72" t="s">
        <v>98</v>
      </c>
      <c r="E593" s="73" t="s">
        <v>37</v>
      </c>
      <c r="F593" s="73" t="s">
        <v>48</v>
      </c>
      <c r="G593" s="72" t="s">
        <v>85</v>
      </c>
      <c r="H593" s="47">
        <f>IF('Lançamento Diário'!AG34="","",'Lançamento Diário'!AG34)</f>
        <v>10</v>
      </c>
    </row>
    <row r="594" spans="2:8" x14ac:dyDescent="0.25">
      <c r="B594" s="71">
        <v>46235</v>
      </c>
      <c r="C594" s="72">
        <v>1</v>
      </c>
      <c r="D594" s="72" t="s">
        <v>96</v>
      </c>
      <c r="E594" s="73" t="s">
        <v>37</v>
      </c>
      <c r="F594" s="73" t="s">
        <v>49</v>
      </c>
      <c r="G594" s="72" t="s">
        <v>49</v>
      </c>
      <c r="H594" s="47">
        <f>IF('Lançamento Diário'!C35="","",'Lançamento Diário'!C35)</f>
        <v>7</v>
      </c>
    </row>
    <row r="595" spans="2:8" x14ac:dyDescent="0.25">
      <c r="B595" s="71">
        <v>46236</v>
      </c>
      <c r="C595" s="72">
        <v>2</v>
      </c>
      <c r="D595" s="72" t="s">
        <v>97</v>
      </c>
      <c r="E595" s="73" t="s">
        <v>37</v>
      </c>
      <c r="F595" s="73" t="s">
        <v>49</v>
      </c>
      <c r="G595" s="72" t="s">
        <v>49</v>
      </c>
      <c r="H595" s="47">
        <f>IF('Lançamento Diário'!D35="","",'Lançamento Diário'!D35)</f>
        <v>0</v>
      </c>
    </row>
    <row r="596" spans="2:8" x14ac:dyDescent="0.25">
      <c r="B596" s="71">
        <v>46237</v>
      </c>
      <c r="C596" s="72">
        <v>3</v>
      </c>
      <c r="D596" s="72" t="s">
        <v>98</v>
      </c>
      <c r="E596" s="73" t="s">
        <v>37</v>
      </c>
      <c r="F596" s="73" t="s">
        <v>49</v>
      </c>
      <c r="G596" s="72" t="s">
        <v>49</v>
      </c>
      <c r="H596" s="47">
        <f>IF('Lançamento Diário'!E35="","",'Lançamento Diário'!E35)</f>
        <v>1</v>
      </c>
    </row>
    <row r="597" spans="2:8" x14ac:dyDescent="0.25">
      <c r="B597" s="71">
        <v>46238</v>
      </c>
      <c r="C597" s="72">
        <v>4</v>
      </c>
      <c r="D597" s="72" t="s">
        <v>99</v>
      </c>
      <c r="E597" s="73" t="s">
        <v>37</v>
      </c>
      <c r="F597" s="73" t="s">
        <v>49</v>
      </c>
      <c r="G597" s="72" t="s">
        <v>49</v>
      </c>
      <c r="H597" s="47">
        <f>IF('Lançamento Diário'!F35="","",'Lançamento Diário'!F35)</f>
        <v>0</v>
      </c>
    </row>
    <row r="598" spans="2:8" x14ac:dyDescent="0.25">
      <c r="B598" s="71">
        <v>46239</v>
      </c>
      <c r="C598" s="72">
        <v>5</v>
      </c>
      <c r="D598" s="72" t="s">
        <v>100</v>
      </c>
      <c r="E598" s="73" t="s">
        <v>37</v>
      </c>
      <c r="F598" s="73" t="s">
        <v>49</v>
      </c>
      <c r="G598" s="72" t="s">
        <v>49</v>
      </c>
      <c r="H598" s="47">
        <f>IF('Lançamento Diário'!G35="","",'Lançamento Diário'!G35)</f>
        <v>0</v>
      </c>
    </row>
    <row r="599" spans="2:8" x14ac:dyDescent="0.25">
      <c r="B599" s="71">
        <v>46240</v>
      </c>
      <c r="C599" s="72">
        <v>6</v>
      </c>
      <c r="D599" s="72" t="s">
        <v>101</v>
      </c>
      <c r="E599" s="73" t="s">
        <v>37</v>
      </c>
      <c r="F599" s="73" t="s">
        <v>49</v>
      </c>
      <c r="G599" s="72" t="s">
        <v>49</v>
      </c>
      <c r="H599" s="47">
        <f>IF('Lançamento Diário'!H35="","",'Lançamento Diário'!H35)</f>
        <v>1</v>
      </c>
    </row>
    <row r="600" spans="2:8" x14ac:dyDescent="0.25">
      <c r="B600" s="71">
        <v>46241</v>
      </c>
      <c r="C600" s="72">
        <v>7</v>
      </c>
      <c r="D600" s="72" t="s">
        <v>102</v>
      </c>
      <c r="E600" s="73" t="s">
        <v>37</v>
      </c>
      <c r="F600" s="73" t="s">
        <v>49</v>
      </c>
      <c r="G600" s="72" t="s">
        <v>49</v>
      </c>
      <c r="H600" s="47">
        <f>IF('Lançamento Diário'!I35="","",'Lançamento Diário'!I35)</f>
        <v>0</v>
      </c>
    </row>
    <row r="601" spans="2:8" x14ac:dyDescent="0.25">
      <c r="B601" s="71">
        <v>46242</v>
      </c>
      <c r="C601" s="72">
        <v>8</v>
      </c>
      <c r="D601" s="72" t="s">
        <v>96</v>
      </c>
      <c r="E601" s="73" t="s">
        <v>37</v>
      </c>
      <c r="F601" s="73" t="s">
        <v>49</v>
      </c>
      <c r="G601" s="72" t="s">
        <v>49</v>
      </c>
      <c r="H601" s="47">
        <f>IF('Lançamento Diário'!J35="","",'Lançamento Diário'!J35)</f>
        <v>0</v>
      </c>
    </row>
    <row r="602" spans="2:8" x14ac:dyDescent="0.25">
      <c r="B602" s="71">
        <v>46243</v>
      </c>
      <c r="C602" s="72">
        <v>9</v>
      </c>
      <c r="D602" s="72" t="s">
        <v>97</v>
      </c>
      <c r="E602" s="73" t="s">
        <v>37</v>
      </c>
      <c r="F602" s="73" t="s">
        <v>49</v>
      </c>
      <c r="G602" s="72" t="s">
        <v>49</v>
      </c>
      <c r="H602" s="47">
        <f>IF('Lançamento Diário'!K35="","",'Lançamento Diário'!K35)</f>
        <v>0</v>
      </c>
    </row>
    <row r="603" spans="2:8" x14ac:dyDescent="0.25">
      <c r="B603" s="71">
        <v>46244</v>
      </c>
      <c r="C603" s="72">
        <v>10</v>
      </c>
      <c r="D603" s="72" t="s">
        <v>98</v>
      </c>
      <c r="E603" s="73" t="s">
        <v>37</v>
      </c>
      <c r="F603" s="73" t="s">
        <v>49</v>
      </c>
      <c r="G603" s="72" t="s">
        <v>49</v>
      </c>
      <c r="H603" s="47">
        <f>IF('Lançamento Diário'!L35="","",'Lançamento Diário'!L35)</f>
        <v>1</v>
      </c>
    </row>
    <row r="604" spans="2:8" x14ac:dyDescent="0.25">
      <c r="B604" s="71">
        <v>46245</v>
      </c>
      <c r="C604" s="72">
        <v>11</v>
      </c>
      <c r="D604" s="72" t="s">
        <v>99</v>
      </c>
      <c r="E604" s="73" t="s">
        <v>37</v>
      </c>
      <c r="F604" s="73" t="s">
        <v>49</v>
      </c>
      <c r="G604" s="72" t="s">
        <v>49</v>
      </c>
      <c r="H604" s="47">
        <f>IF('Lançamento Diário'!M35="","",'Lançamento Diário'!M35)</f>
        <v>1</v>
      </c>
    </row>
    <row r="605" spans="2:8" x14ac:dyDescent="0.25">
      <c r="B605" s="71">
        <v>46246</v>
      </c>
      <c r="C605" s="72">
        <v>12</v>
      </c>
      <c r="D605" s="72" t="s">
        <v>100</v>
      </c>
      <c r="E605" s="73" t="s">
        <v>37</v>
      </c>
      <c r="F605" s="73" t="s">
        <v>49</v>
      </c>
      <c r="G605" s="72" t="s">
        <v>49</v>
      </c>
      <c r="H605" s="47">
        <f>IF('Lançamento Diário'!N35="","",'Lançamento Diário'!N35)</f>
        <v>2</v>
      </c>
    </row>
    <row r="606" spans="2:8" x14ac:dyDescent="0.25">
      <c r="B606" s="71">
        <v>46247</v>
      </c>
      <c r="C606" s="72">
        <v>13</v>
      </c>
      <c r="D606" s="72" t="s">
        <v>101</v>
      </c>
      <c r="E606" s="73" t="s">
        <v>37</v>
      </c>
      <c r="F606" s="73" t="s">
        <v>49</v>
      </c>
      <c r="G606" s="72" t="s">
        <v>49</v>
      </c>
      <c r="H606" s="47">
        <f>IF('Lançamento Diário'!O35="","",'Lançamento Diário'!O35)</f>
        <v>1</v>
      </c>
    </row>
    <row r="607" spans="2:8" x14ac:dyDescent="0.25">
      <c r="B607" s="71">
        <v>46248</v>
      </c>
      <c r="C607" s="72">
        <v>14</v>
      </c>
      <c r="D607" s="72" t="s">
        <v>102</v>
      </c>
      <c r="E607" s="73" t="s">
        <v>37</v>
      </c>
      <c r="F607" s="73" t="s">
        <v>49</v>
      </c>
      <c r="G607" s="72" t="s">
        <v>49</v>
      </c>
      <c r="H607" s="47">
        <f>IF('Lançamento Diário'!P35="","",'Lançamento Diário'!P35)</f>
        <v>0</v>
      </c>
    </row>
    <row r="608" spans="2:8" x14ac:dyDescent="0.25">
      <c r="B608" s="71">
        <v>46249</v>
      </c>
      <c r="C608" s="72">
        <v>15</v>
      </c>
      <c r="D608" s="72" t="s">
        <v>96</v>
      </c>
      <c r="E608" s="73" t="s">
        <v>37</v>
      </c>
      <c r="F608" s="73" t="s">
        <v>49</v>
      </c>
      <c r="G608" s="72" t="s">
        <v>49</v>
      </c>
      <c r="H608" s="47">
        <f>IF('Lançamento Diário'!Q35="","",'Lançamento Diário'!Q35)</f>
        <v>0</v>
      </c>
    </row>
    <row r="609" spans="2:8" x14ac:dyDescent="0.25">
      <c r="B609" s="71">
        <v>46250</v>
      </c>
      <c r="C609" s="72">
        <v>16</v>
      </c>
      <c r="D609" s="72" t="s">
        <v>97</v>
      </c>
      <c r="E609" s="73" t="s">
        <v>37</v>
      </c>
      <c r="F609" s="73" t="s">
        <v>49</v>
      </c>
      <c r="G609" s="72" t="s">
        <v>49</v>
      </c>
      <c r="H609" s="47">
        <f>IF('Lançamento Diário'!R35="","",'Lançamento Diário'!R35)</f>
        <v>0</v>
      </c>
    </row>
    <row r="610" spans="2:8" x14ac:dyDescent="0.25">
      <c r="B610" s="71">
        <v>46251</v>
      </c>
      <c r="C610" s="72">
        <v>17</v>
      </c>
      <c r="D610" s="72" t="s">
        <v>98</v>
      </c>
      <c r="E610" s="73" t="s">
        <v>37</v>
      </c>
      <c r="F610" s="73" t="s">
        <v>49</v>
      </c>
      <c r="G610" s="72" t="s">
        <v>49</v>
      </c>
      <c r="H610" s="47">
        <f>IF('Lançamento Diário'!S35="","",'Lançamento Diário'!S35)</f>
        <v>1</v>
      </c>
    </row>
    <row r="611" spans="2:8" x14ac:dyDescent="0.25">
      <c r="B611" s="71">
        <v>46252</v>
      </c>
      <c r="C611" s="72">
        <v>18</v>
      </c>
      <c r="D611" s="72" t="s">
        <v>99</v>
      </c>
      <c r="E611" s="73" t="s">
        <v>37</v>
      </c>
      <c r="F611" s="73" t="s">
        <v>49</v>
      </c>
      <c r="G611" s="72" t="s">
        <v>49</v>
      </c>
      <c r="H611" s="47">
        <f>IF('Lançamento Diário'!T35="","",'Lançamento Diário'!T35)</f>
        <v>1</v>
      </c>
    </row>
    <row r="612" spans="2:8" x14ac:dyDescent="0.25">
      <c r="B612" s="71">
        <v>46253</v>
      </c>
      <c r="C612" s="72">
        <v>19</v>
      </c>
      <c r="D612" s="72" t="s">
        <v>100</v>
      </c>
      <c r="E612" s="73" t="s">
        <v>37</v>
      </c>
      <c r="F612" s="73" t="s">
        <v>49</v>
      </c>
      <c r="G612" s="72" t="s">
        <v>49</v>
      </c>
      <c r="H612" s="47">
        <f>IF('Lançamento Diário'!U35="","",'Lançamento Diário'!U35)</f>
        <v>0</v>
      </c>
    </row>
    <row r="613" spans="2:8" x14ac:dyDescent="0.25">
      <c r="B613" s="71">
        <v>46254</v>
      </c>
      <c r="C613" s="72">
        <v>20</v>
      </c>
      <c r="D613" s="72" t="s">
        <v>101</v>
      </c>
      <c r="E613" s="73" t="s">
        <v>37</v>
      </c>
      <c r="F613" s="73" t="s">
        <v>49</v>
      </c>
      <c r="G613" s="72" t="s">
        <v>49</v>
      </c>
      <c r="H613" s="47">
        <f>IF('Lançamento Diário'!V35="","",'Lançamento Diário'!V35)</f>
        <v>1</v>
      </c>
    </row>
    <row r="614" spans="2:8" x14ac:dyDescent="0.25">
      <c r="B614" s="71">
        <v>46255</v>
      </c>
      <c r="C614" s="72">
        <v>21</v>
      </c>
      <c r="D614" s="72" t="s">
        <v>102</v>
      </c>
      <c r="E614" s="73" t="s">
        <v>37</v>
      </c>
      <c r="F614" s="73" t="s">
        <v>49</v>
      </c>
      <c r="G614" s="72" t="s">
        <v>49</v>
      </c>
      <c r="H614" s="47">
        <f>IF('Lançamento Diário'!W35="","",'Lançamento Diário'!W35)</f>
        <v>0</v>
      </c>
    </row>
    <row r="615" spans="2:8" x14ac:dyDescent="0.25">
      <c r="B615" s="71">
        <v>46256</v>
      </c>
      <c r="C615" s="72">
        <v>22</v>
      </c>
      <c r="D615" s="72" t="s">
        <v>96</v>
      </c>
      <c r="E615" s="73" t="s">
        <v>37</v>
      </c>
      <c r="F615" s="73" t="s">
        <v>49</v>
      </c>
      <c r="G615" s="72" t="s">
        <v>49</v>
      </c>
      <c r="H615" s="47">
        <f>IF('Lançamento Diário'!X35="","",'Lançamento Diário'!X35)</f>
        <v>0</v>
      </c>
    </row>
    <row r="616" spans="2:8" x14ac:dyDescent="0.25">
      <c r="B616" s="71">
        <v>46257</v>
      </c>
      <c r="C616" s="72">
        <v>23</v>
      </c>
      <c r="D616" s="72" t="s">
        <v>97</v>
      </c>
      <c r="E616" s="73" t="s">
        <v>37</v>
      </c>
      <c r="F616" s="73" t="s">
        <v>49</v>
      </c>
      <c r="G616" s="72" t="s">
        <v>49</v>
      </c>
      <c r="H616" s="47">
        <f>IF('Lançamento Diário'!Y35="","",'Lançamento Diário'!Y35)</f>
        <v>0</v>
      </c>
    </row>
    <row r="617" spans="2:8" x14ac:dyDescent="0.25">
      <c r="B617" s="71">
        <v>46258</v>
      </c>
      <c r="C617" s="72">
        <v>24</v>
      </c>
      <c r="D617" s="72" t="s">
        <v>98</v>
      </c>
      <c r="E617" s="73" t="s">
        <v>37</v>
      </c>
      <c r="F617" s="73" t="s">
        <v>49</v>
      </c>
      <c r="G617" s="72" t="s">
        <v>49</v>
      </c>
      <c r="H617" s="47">
        <f>IF('Lançamento Diário'!Z35="","",'Lançamento Diário'!Z35)</f>
        <v>1</v>
      </c>
    </row>
    <row r="618" spans="2:8" x14ac:dyDescent="0.25">
      <c r="B618" s="71">
        <v>46259</v>
      </c>
      <c r="C618" s="72">
        <v>25</v>
      </c>
      <c r="D618" s="72" t="s">
        <v>99</v>
      </c>
      <c r="E618" s="73" t="s">
        <v>37</v>
      </c>
      <c r="F618" s="73" t="s">
        <v>49</v>
      </c>
      <c r="G618" s="72" t="s">
        <v>49</v>
      </c>
      <c r="H618" s="47">
        <f>IF('Lançamento Diário'!AA35="","",'Lançamento Diário'!AA35)</f>
        <v>2</v>
      </c>
    </row>
    <row r="619" spans="2:8" x14ac:dyDescent="0.25">
      <c r="B619" s="71">
        <v>46260</v>
      </c>
      <c r="C619" s="72">
        <v>26</v>
      </c>
      <c r="D619" s="72" t="s">
        <v>100</v>
      </c>
      <c r="E619" s="73" t="s">
        <v>37</v>
      </c>
      <c r="F619" s="73" t="s">
        <v>49</v>
      </c>
      <c r="G619" s="72" t="s">
        <v>49</v>
      </c>
      <c r="H619" s="47">
        <f>IF('Lançamento Diário'!AB35="","",'Lançamento Diário'!AB35)</f>
        <v>2</v>
      </c>
    </row>
    <row r="620" spans="2:8" x14ac:dyDescent="0.25">
      <c r="B620" s="71">
        <v>46261</v>
      </c>
      <c r="C620" s="72">
        <v>27</v>
      </c>
      <c r="D620" s="72" t="s">
        <v>101</v>
      </c>
      <c r="E620" s="73" t="s">
        <v>37</v>
      </c>
      <c r="F620" s="73" t="s">
        <v>49</v>
      </c>
      <c r="G620" s="72" t="s">
        <v>49</v>
      </c>
      <c r="H620" s="47">
        <f>IF('Lançamento Diário'!AC35="","",'Lançamento Diário'!AC35)</f>
        <v>0</v>
      </c>
    </row>
    <row r="621" spans="2:8" x14ac:dyDescent="0.25">
      <c r="B621" s="71">
        <v>46262</v>
      </c>
      <c r="C621" s="72">
        <v>28</v>
      </c>
      <c r="D621" s="72" t="s">
        <v>102</v>
      </c>
      <c r="E621" s="73" t="s">
        <v>37</v>
      </c>
      <c r="F621" s="73" t="s">
        <v>49</v>
      </c>
      <c r="G621" s="72" t="s">
        <v>49</v>
      </c>
      <c r="H621" s="47">
        <f>IF('Lançamento Diário'!AD35="","",'Lançamento Diário'!AD35)</f>
        <v>0</v>
      </c>
    </row>
    <row r="622" spans="2:8" x14ac:dyDescent="0.25">
      <c r="B622" s="71">
        <v>46263</v>
      </c>
      <c r="C622" s="72">
        <v>29</v>
      </c>
      <c r="D622" s="72" t="s">
        <v>96</v>
      </c>
      <c r="E622" s="73" t="s">
        <v>37</v>
      </c>
      <c r="F622" s="73" t="s">
        <v>49</v>
      </c>
      <c r="G622" s="72" t="s">
        <v>49</v>
      </c>
      <c r="H622" s="47">
        <f>IF('Lançamento Diário'!AE35="","",'Lançamento Diário'!AE35)</f>
        <v>0</v>
      </c>
    </row>
    <row r="623" spans="2:8" x14ac:dyDescent="0.25">
      <c r="B623" s="71">
        <v>46264</v>
      </c>
      <c r="C623" s="72">
        <v>30</v>
      </c>
      <c r="D623" s="72" t="s">
        <v>97</v>
      </c>
      <c r="E623" s="73" t="s">
        <v>37</v>
      </c>
      <c r="F623" s="73" t="s">
        <v>49</v>
      </c>
      <c r="G623" s="72" t="s">
        <v>49</v>
      </c>
      <c r="H623" s="47">
        <f>IF('Lançamento Diário'!AF35="","",'Lançamento Diário'!AF35)</f>
        <v>0</v>
      </c>
    </row>
    <row r="624" spans="2:8" x14ac:dyDescent="0.25">
      <c r="B624" s="71">
        <v>46265</v>
      </c>
      <c r="C624" s="72">
        <v>31</v>
      </c>
      <c r="D624" s="72" t="s">
        <v>98</v>
      </c>
      <c r="E624" s="73" t="s">
        <v>37</v>
      </c>
      <c r="F624" s="73" t="s">
        <v>49</v>
      </c>
      <c r="G624" s="72" t="s">
        <v>49</v>
      </c>
      <c r="H624" s="47">
        <f>IF('Lançamento Diário'!AG35="","",'Lançamento Diário'!AG35)</f>
        <v>0</v>
      </c>
    </row>
    <row r="625" spans="2:8" x14ac:dyDescent="0.25">
      <c r="B625" s="71">
        <v>46235</v>
      </c>
      <c r="C625" s="72">
        <v>1</v>
      </c>
      <c r="D625" s="72" t="s">
        <v>96</v>
      </c>
      <c r="E625" s="73" t="s">
        <v>38</v>
      </c>
      <c r="F625" s="73" t="s">
        <v>45</v>
      </c>
      <c r="G625" s="72" t="s">
        <v>84</v>
      </c>
      <c r="H625" s="47">
        <f>IF('Lançamento Diário'!C39="","",'Lançamento Diário'!C39)</f>
        <v>4</v>
      </c>
    </row>
    <row r="626" spans="2:8" x14ac:dyDescent="0.25">
      <c r="B626" s="71">
        <v>46236</v>
      </c>
      <c r="C626" s="72">
        <v>2</v>
      </c>
      <c r="D626" s="72" t="s">
        <v>97</v>
      </c>
      <c r="E626" s="73" t="s">
        <v>38</v>
      </c>
      <c r="F626" s="73" t="s">
        <v>45</v>
      </c>
      <c r="G626" s="72" t="s">
        <v>84</v>
      </c>
      <c r="H626" s="47">
        <f>IF('Lançamento Diário'!D39="","",'Lançamento Diário'!D39)</f>
        <v>0</v>
      </c>
    </row>
    <row r="627" spans="2:8" x14ac:dyDescent="0.25">
      <c r="B627" s="71">
        <v>46237</v>
      </c>
      <c r="C627" s="72">
        <v>3</v>
      </c>
      <c r="D627" s="72" t="s">
        <v>98</v>
      </c>
      <c r="E627" s="73" t="s">
        <v>38</v>
      </c>
      <c r="F627" s="73" t="s">
        <v>45</v>
      </c>
      <c r="G627" s="72" t="s">
        <v>84</v>
      </c>
      <c r="H627" s="47">
        <f>IF('Lançamento Diário'!E39="","",'Lançamento Diário'!E39)</f>
        <v>3</v>
      </c>
    </row>
    <row r="628" spans="2:8" x14ac:dyDescent="0.25">
      <c r="B628" s="71">
        <v>46238</v>
      </c>
      <c r="C628" s="72">
        <v>4</v>
      </c>
      <c r="D628" s="72" t="s">
        <v>99</v>
      </c>
      <c r="E628" s="73" t="s">
        <v>38</v>
      </c>
      <c r="F628" s="73" t="s">
        <v>45</v>
      </c>
      <c r="G628" s="72" t="s">
        <v>84</v>
      </c>
      <c r="H628" s="47">
        <f>IF('Lançamento Diário'!F39="","",'Lançamento Diário'!F39)</f>
        <v>6</v>
      </c>
    </row>
    <row r="629" spans="2:8" x14ac:dyDescent="0.25">
      <c r="B629" s="71">
        <v>46239</v>
      </c>
      <c r="C629" s="72">
        <v>5</v>
      </c>
      <c r="D629" s="72" t="s">
        <v>100</v>
      </c>
      <c r="E629" s="73" t="s">
        <v>38</v>
      </c>
      <c r="F629" s="73" t="s">
        <v>45</v>
      </c>
      <c r="G629" s="72" t="s">
        <v>84</v>
      </c>
      <c r="H629" s="47">
        <f>IF('Lançamento Diário'!G39="","",'Lançamento Diário'!G39)</f>
        <v>7</v>
      </c>
    </row>
    <row r="630" spans="2:8" x14ac:dyDescent="0.25">
      <c r="B630" s="71">
        <v>46240</v>
      </c>
      <c r="C630" s="72">
        <v>6</v>
      </c>
      <c r="D630" s="72" t="s">
        <v>101</v>
      </c>
      <c r="E630" s="73" t="s">
        <v>38</v>
      </c>
      <c r="F630" s="73" t="s">
        <v>45</v>
      </c>
      <c r="G630" s="72" t="s">
        <v>84</v>
      </c>
      <c r="H630" s="47">
        <f>IF('Lançamento Diário'!H39="","",'Lançamento Diário'!H39)</f>
        <v>7</v>
      </c>
    </row>
    <row r="631" spans="2:8" x14ac:dyDescent="0.25">
      <c r="B631" s="71">
        <v>46241</v>
      </c>
      <c r="C631" s="72">
        <v>7</v>
      </c>
      <c r="D631" s="72" t="s">
        <v>102</v>
      </c>
      <c r="E631" s="73" t="s">
        <v>38</v>
      </c>
      <c r="F631" s="73" t="s">
        <v>45</v>
      </c>
      <c r="G631" s="72" t="s">
        <v>84</v>
      </c>
      <c r="H631" s="47">
        <f>IF('Lançamento Diário'!I39="","",'Lançamento Diário'!I39)</f>
        <v>8</v>
      </c>
    </row>
    <row r="632" spans="2:8" x14ac:dyDescent="0.25">
      <c r="B632" s="71">
        <v>46242</v>
      </c>
      <c r="C632" s="72">
        <v>8</v>
      </c>
      <c r="D632" s="72" t="s">
        <v>96</v>
      </c>
      <c r="E632" s="73" t="s">
        <v>38</v>
      </c>
      <c r="F632" s="73" t="s">
        <v>45</v>
      </c>
      <c r="G632" s="72" t="s">
        <v>84</v>
      </c>
      <c r="H632" s="47">
        <f>IF('Lançamento Diário'!J39="","",'Lançamento Diário'!J39)</f>
        <v>6</v>
      </c>
    </row>
    <row r="633" spans="2:8" x14ac:dyDescent="0.25">
      <c r="B633" s="71">
        <v>46243</v>
      </c>
      <c r="C633" s="72">
        <v>9</v>
      </c>
      <c r="D633" s="72" t="s">
        <v>97</v>
      </c>
      <c r="E633" s="73" t="s">
        <v>38</v>
      </c>
      <c r="F633" s="73" t="s">
        <v>45</v>
      </c>
      <c r="G633" s="72" t="s">
        <v>84</v>
      </c>
      <c r="H633" s="47">
        <f>IF('Lançamento Diário'!K39="","",'Lançamento Diário'!K39)</f>
        <v>0</v>
      </c>
    </row>
    <row r="634" spans="2:8" x14ac:dyDescent="0.25">
      <c r="B634" s="71">
        <v>46244</v>
      </c>
      <c r="C634" s="72">
        <v>10</v>
      </c>
      <c r="D634" s="72" t="s">
        <v>98</v>
      </c>
      <c r="E634" s="73" t="s">
        <v>38</v>
      </c>
      <c r="F634" s="73" t="s">
        <v>45</v>
      </c>
      <c r="G634" s="72" t="s">
        <v>84</v>
      </c>
      <c r="H634" s="47">
        <f>IF('Lançamento Diário'!L39="","",'Lançamento Diário'!L39)</f>
        <v>4</v>
      </c>
    </row>
    <row r="635" spans="2:8" x14ac:dyDescent="0.25">
      <c r="B635" s="71">
        <v>46245</v>
      </c>
      <c r="C635" s="72">
        <v>11</v>
      </c>
      <c r="D635" s="72" t="s">
        <v>99</v>
      </c>
      <c r="E635" s="73" t="s">
        <v>38</v>
      </c>
      <c r="F635" s="73" t="s">
        <v>45</v>
      </c>
      <c r="G635" s="72" t="s">
        <v>84</v>
      </c>
      <c r="H635" s="47">
        <f>IF('Lançamento Diário'!M39="","",'Lançamento Diário'!M39)</f>
        <v>13</v>
      </c>
    </row>
    <row r="636" spans="2:8" x14ac:dyDescent="0.25">
      <c r="B636" s="71">
        <v>46246</v>
      </c>
      <c r="C636" s="72">
        <v>12</v>
      </c>
      <c r="D636" s="72" t="s">
        <v>100</v>
      </c>
      <c r="E636" s="73" t="s">
        <v>38</v>
      </c>
      <c r="F636" s="73" t="s">
        <v>45</v>
      </c>
      <c r="G636" s="72" t="s">
        <v>84</v>
      </c>
      <c r="H636" s="47">
        <f>IF('Lançamento Diário'!N39="","",'Lançamento Diário'!N39)</f>
        <v>3</v>
      </c>
    </row>
    <row r="637" spans="2:8" x14ac:dyDescent="0.25">
      <c r="B637" s="71">
        <v>46247</v>
      </c>
      <c r="C637" s="72">
        <v>13</v>
      </c>
      <c r="D637" s="72" t="s">
        <v>101</v>
      </c>
      <c r="E637" s="73" t="s">
        <v>38</v>
      </c>
      <c r="F637" s="73" t="s">
        <v>45</v>
      </c>
      <c r="G637" s="72" t="s">
        <v>84</v>
      </c>
      <c r="H637" s="47">
        <f>IF('Lançamento Diário'!O39="","",'Lançamento Diário'!O39)</f>
        <v>8</v>
      </c>
    </row>
    <row r="638" spans="2:8" x14ac:dyDescent="0.25">
      <c r="B638" s="71">
        <v>46248</v>
      </c>
      <c r="C638" s="72">
        <v>14</v>
      </c>
      <c r="D638" s="72" t="s">
        <v>102</v>
      </c>
      <c r="E638" s="73" t="s">
        <v>38</v>
      </c>
      <c r="F638" s="73" t="s">
        <v>45</v>
      </c>
      <c r="G638" s="72" t="s">
        <v>84</v>
      </c>
      <c r="H638" s="47">
        <f>IF('Lançamento Diário'!P39="","",'Lançamento Diário'!P39)</f>
        <v>11</v>
      </c>
    </row>
    <row r="639" spans="2:8" x14ac:dyDescent="0.25">
      <c r="B639" s="71">
        <v>46249</v>
      </c>
      <c r="C639" s="72">
        <v>15</v>
      </c>
      <c r="D639" s="72" t="s">
        <v>96</v>
      </c>
      <c r="E639" s="73" t="s">
        <v>38</v>
      </c>
      <c r="F639" s="73" t="s">
        <v>45</v>
      </c>
      <c r="G639" s="72" t="s">
        <v>84</v>
      </c>
      <c r="H639" s="47">
        <f>IF('Lançamento Diário'!Q39="","",'Lançamento Diário'!Q39)</f>
        <v>0</v>
      </c>
    </row>
    <row r="640" spans="2:8" x14ac:dyDescent="0.25">
      <c r="B640" s="71">
        <v>46250</v>
      </c>
      <c r="C640" s="72">
        <v>16</v>
      </c>
      <c r="D640" s="72" t="s">
        <v>97</v>
      </c>
      <c r="E640" s="73" t="s">
        <v>38</v>
      </c>
      <c r="F640" s="73" t="s">
        <v>45</v>
      </c>
      <c r="G640" s="72" t="s">
        <v>84</v>
      </c>
      <c r="H640" s="47">
        <f>IF('Lançamento Diário'!R39="","",'Lançamento Diário'!R39)</f>
        <v>0</v>
      </c>
    </row>
    <row r="641" spans="2:8" x14ac:dyDescent="0.25">
      <c r="B641" s="71">
        <v>46251</v>
      </c>
      <c r="C641" s="72">
        <v>17</v>
      </c>
      <c r="D641" s="72" t="s">
        <v>98</v>
      </c>
      <c r="E641" s="73" t="s">
        <v>38</v>
      </c>
      <c r="F641" s="73" t="s">
        <v>45</v>
      </c>
      <c r="G641" s="72" t="s">
        <v>84</v>
      </c>
      <c r="H641" s="47">
        <f>IF('Lançamento Diário'!S39="","",'Lançamento Diário'!S39)</f>
        <v>5</v>
      </c>
    </row>
    <row r="642" spans="2:8" x14ac:dyDescent="0.25">
      <c r="B642" s="71">
        <v>46252</v>
      </c>
      <c r="C642" s="72">
        <v>18</v>
      </c>
      <c r="D642" s="72" t="s">
        <v>99</v>
      </c>
      <c r="E642" s="73" t="s">
        <v>38</v>
      </c>
      <c r="F642" s="73" t="s">
        <v>45</v>
      </c>
      <c r="G642" s="72" t="s">
        <v>84</v>
      </c>
      <c r="H642" s="47">
        <f>IF('Lançamento Diário'!T39="","",'Lançamento Diário'!T39)</f>
        <v>7</v>
      </c>
    </row>
    <row r="643" spans="2:8" x14ac:dyDescent="0.25">
      <c r="B643" s="71">
        <v>46253</v>
      </c>
      <c r="C643" s="72">
        <v>19</v>
      </c>
      <c r="D643" s="72" t="s">
        <v>100</v>
      </c>
      <c r="E643" s="73" t="s">
        <v>38</v>
      </c>
      <c r="F643" s="73" t="s">
        <v>45</v>
      </c>
      <c r="G643" s="72" t="s">
        <v>84</v>
      </c>
      <c r="H643" s="47">
        <f>IF('Lançamento Diário'!U39="","",'Lançamento Diário'!U39)</f>
        <v>5</v>
      </c>
    </row>
    <row r="644" spans="2:8" x14ac:dyDescent="0.25">
      <c r="B644" s="71">
        <v>46254</v>
      </c>
      <c r="C644" s="72">
        <v>20</v>
      </c>
      <c r="D644" s="72" t="s">
        <v>101</v>
      </c>
      <c r="E644" s="73" t="s">
        <v>38</v>
      </c>
      <c r="F644" s="73" t="s">
        <v>45</v>
      </c>
      <c r="G644" s="72" t="s">
        <v>84</v>
      </c>
      <c r="H644" s="47">
        <f>IF('Lançamento Diário'!V39="","",'Lançamento Diário'!V39)</f>
        <v>6</v>
      </c>
    </row>
    <row r="645" spans="2:8" x14ac:dyDescent="0.25">
      <c r="B645" s="71">
        <v>46255</v>
      </c>
      <c r="C645" s="72">
        <v>21</v>
      </c>
      <c r="D645" s="72" t="s">
        <v>102</v>
      </c>
      <c r="E645" s="73" t="s">
        <v>38</v>
      </c>
      <c r="F645" s="73" t="s">
        <v>45</v>
      </c>
      <c r="G645" s="72" t="s">
        <v>84</v>
      </c>
      <c r="H645" s="47">
        <f>IF('Lançamento Diário'!W39="","",'Lançamento Diário'!W39)</f>
        <v>4</v>
      </c>
    </row>
    <row r="646" spans="2:8" x14ac:dyDescent="0.25">
      <c r="B646" s="71">
        <v>46256</v>
      </c>
      <c r="C646" s="72">
        <v>22</v>
      </c>
      <c r="D646" s="72" t="s">
        <v>96</v>
      </c>
      <c r="E646" s="73" t="s">
        <v>38</v>
      </c>
      <c r="F646" s="73" t="s">
        <v>45</v>
      </c>
      <c r="G646" s="72" t="s">
        <v>84</v>
      </c>
      <c r="H646" s="47">
        <f>IF('Lançamento Diário'!X39="","",'Lançamento Diário'!X39)</f>
        <v>10</v>
      </c>
    </row>
    <row r="647" spans="2:8" x14ac:dyDescent="0.25">
      <c r="B647" s="71">
        <v>46257</v>
      </c>
      <c r="C647" s="72">
        <v>23</v>
      </c>
      <c r="D647" s="72" t="s">
        <v>97</v>
      </c>
      <c r="E647" s="73" t="s">
        <v>38</v>
      </c>
      <c r="F647" s="73" t="s">
        <v>45</v>
      </c>
      <c r="G647" s="72" t="s">
        <v>84</v>
      </c>
      <c r="H647" s="47">
        <f>IF('Lançamento Diário'!Y39="","",'Lançamento Diário'!Y39)</f>
        <v>0</v>
      </c>
    </row>
    <row r="648" spans="2:8" x14ac:dyDescent="0.25">
      <c r="B648" s="71">
        <v>46258</v>
      </c>
      <c r="C648" s="72">
        <v>24</v>
      </c>
      <c r="D648" s="72" t="s">
        <v>98</v>
      </c>
      <c r="E648" s="73" t="s">
        <v>38</v>
      </c>
      <c r="F648" s="73" t="s">
        <v>45</v>
      </c>
      <c r="G648" s="72" t="s">
        <v>84</v>
      </c>
      <c r="H648" s="47">
        <f>IF('Lançamento Diário'!Z39="","",'Lançamento Diário'!Z39)</f>
        <v>4</v>
      </c>
    </row>
    <row r="649" spans="2:8" x14ac:dyDescent="0.25">
      <c r="B649" s="71">
        <v>46259</v>
      </c>
      <c r="C649" s="72">
        <v>25</v>
      </c>
      <c r="D649" s="72" t="s">
        <v>99</v>
      </c>
      <c r="E649" s="73" t="s">
        <v>38</v>
      </c>
      <c r="F649" s="73" t="s">
        <v>45</v>
      </c>
      <c r="G649" s="72" t="s">
        <v>84</v>
      </c>
      <c r="H649" s="47">
        <f>IF('Lançamento Diário'!AA39="","",'Lançamento Diário'!AA39)</f>
        <v>8</v>
      </c>
    </row>
    <row r="650" spans="2:8" x14ac:dyDescent="0.25">
      <c r="B650" s="71">
        <v>46260</v>
      </c>
      <c r="C650" s="72">
        <v>26</v>
      </c>
      <c r="D650" s="72" t="s">
        <v>100</v>
      </c>
      <c r="E650" s="73" t="s">
        <v>38</v>
      </c>
      <c r="F650" s="73" t="s">
        <v>45</v>
      </c>
      <c r="G650" s="72" t="s">
        <v>84</v>
      </c>
      <c r="H650" s="47">
        <f>IF('Lançamento Diário'!AB39="","",'Lançamento Diário'!AB39)</f>
        <v>6</v>
      </c>
    </row>
    <row r="651" spans="2:8" x14ac:dyDescent="0.25">
      <c r="B651" s="71">
        <v>46261</v>
      </c>
      <c r="C651" s="72">
        <v>27</v>
      </c>
      <c r="D651" s="72" t="s">
        <v>101</v>
      </c>
      <c r="E651" s="73" t="s">
        <v>38</v>
      </c>
      <c r="F651" s="73" t="s">
        <v>45</v>
      </c>
      <c r="G651" s="72" t="s">
        <v>84</v>
      </c>
      <c r="H651" s="47">
        <f>IF('Lançamento Diário'!AC39="","",'Lançamento Diário'!AC39)</f>
        <v>5</v>
      </c>
    </row>
    <row r="652" spans="2:8" x14ac:dyDescent="0.25">
      <c r="B652" s="71">
        <v>46262</v>
      </c>
      <c r="C652" s="72">
        <v>28</v>
      </c>
      <c r="D652" s="72" t="s">
        <v>102</v>
      </c>
      <c r="E652" s="73" t="s">
        <v>38</v>
      </c>
      <c r="F652" s="73" t="s">
        <v>45</v>
      </c>
      <c r="G652" s="72" t="s">
        <v>84</v>
      </c>
      <c r="H652" s="47">
        <f>IF('Lançamento Diário'!AD39="","",'Lançamento Diário'!AD39)</f>
        <v>8</v>
      </c>
    </row>
    <row r="653" spans="2:8" x14ac:dyDescent="0.25">
      <c r="B653" s="71">
        <v>46263</v>
      </c>
      <c r="C653" s="72">
        <v>29</v>
      </c>
      <c r="D653" s="72" t="s">
        <v>96</v>
      </c>
      <c r="E653" s="73" t="s">
        <v>38</v>
      </c>
      <c r="F653" s="73" t="s">
        <v>45</v>
      </c>
      <c r="G653" s="72" t="s">
        <v>84</v>
      </c>
      <c r="H653" s="47">
        <f>IF('Lançamento Diário'!AE39="","",'Lançamento Diário'!AE39)</f>
        <v>7</v>
      </c>
    </row>
    <row r="654" spans="2:8" x14ac:dyDescent="0.25">
      <c r="B654" s="71">
        <v>46264</v>
      </c>
      <c r="C654" s="72">
        <v>30</v>
      </c>
      <c r="D654" s="72" t="s">
        <v>97</v>
      </c>
      <c r="E654" s="73" t="s">
        <v>38</v>
      </c>
      <c r="F654" s="73" t="s">
        <v>45</v>
      </c>
      <c r="G654" s="72" t="s">
        <v>84</v>
      </c>
      <c r="H654" s="47">
        <f>IF('Lançamento Diário'!AF39="","",'Lançamento Diário'!AF39)</f>
        <v>0</v>
      </c>
    </row>
    <row r="655" spans="2:8" x14ac:dyDescent="0.25">
      <c r="B655" s="71">
        <v>46265</v>
      </c>
      <c r="C655" s="72">
        <v>31</v>
      </c>
      <c r="D655" s="72" t="s">
        <v>98</v>
      </c>
      <c r="E655" s="73" t="s">
        <v>38</v>
      </c>
      <c r="F655" s="73" t="s">
        <v>45</v>
      </c>
      <c r="G655" s="72" t="s">
        <v>84</v>
      </c>
      <c r="H655" s="47">
        <f>IF('Lançamento Diário'!AG39="","",'Lançamento Diário'!AG39)</f>
        <v>3</v>
      </c>
    </row>
    <row r="656" spans="2:8" x14ac:dyDescent="0.25">
      <c r="B656" s="71">
        <v>46235</v>
      </c>
      <c r="C656" s="72">
        <v>1</v>
      </c>
      <c r="D656" s="72" t="s">
        <v>96</v>
      </c>
      <c r="E656" s="73" t="s">
        <v>38</v>
      </c>
      <c r="F656" s="73" t="s">
        <v>46</v>
      </c>
      <c r="G656" s="72" t="s">
        <v>84</v>
      </c>
      <c r="H656" s="47">
        <f>IF('Lançamento Diário'!C40="","",'Lançamento Diário'!C40)</f>
        <v>3</v>
      </c>
    </row>
    <row r="657" spans="2:8" x14ac:dyDescent="0.25">
      <c r="B657" s="71">
        <v>46236</v>
      </c>
      <c r="C657" s="72">
        <v>2</v>
      </c>
      <c r="D657" s="72" t="s">
        <v>97</v>
      </c>
      <c r="E657" s="73" t="s">
        <v>38</v>
      </c>
      <c r="F657" s="73" t="s">
        <v>46</v>
      </c>
      <c r="G657" s="72" t="s">
        <v>84</v>
      </c>
      <c r="H657" s="47">
        <f>IF('Lançamento Diário'!D40="","",'Lançamento Diário'!D40)</f>
        <v>0</v>
      </c>
    </row>
    <row r="658" spans="2:8" x14ac:dyDescent="0.25">
      <c r="B658" s="71">
        <v>46237</v>
      </c>
      <c r="C658" s="72">
        <v>3</v>
      </c>
      <c r="D658" s="72" t="s">
        <v>98</v>
      </c>
      <c r="E658" s="73" t="s">
        <v>38</v>
      </c>
      <c r="F658" s="73" t="s">
        <v>46</v>
      </c>
      <c r="G658" s="72" t="s">
        <v>84</v>
      </c>
      <c r="H658" s="47">
        <f>IF('Lançamento Diário'!E40="","",'Lançamento Diário'!E40)</f>
        <v>0</v>
      </c>
    </row>
    <row r="659" spans="2:8" x14ac:dyDescent="0.25">
      <c r="B659" s="71">
        <v>46238</v>
      </c>
      <c r="C659" s="72">
        <v>4</v>
      </c>
      <c r="D659" s="72" t="s">
        <v>99</v>
      </c>
      <c r="E659" s="73" t="s">
        <v>38</v>
      </c>
      <c r="F659" s="73" t="s">
        <v>46</v>
      </c>
      <c r="G659" s="72" t="s">
        <v>84</v>
      </c>
      <c r="H659" s="47">
        <f>IF('Lançamento Diário'!F40="","",'Lançamento Diário'!F40)</f>
        <v>3</v>
      </c>
    </row>
    <row r="660" spans="2:8" x14ac:dyDescent="0.25">
      <c r="B660" s="71">
        <v>46239</v>
      </c>
      <c r="C660" s="72">
        <v>5</v>
      </c>
      <c r="D660" s="72" t="s">
        <v>100</v>
      </c>
      <c r="E660" s="73" t="s">
        <v>38</v>
      </c>
      <c r="F660" s="73" t="s">
        <v>46</v>
      </c>
      <c r="G660" s="72" t="s">
        <v>84</v>
      </c>
      <c r="H660" s="47">
        <f>IF('Lançamento Diário'!G40="","",'Lançamento Diário'!G40)</f>
        <v>0</v>
      </c>
    </row>
    <row r="661" spans="2:8" x14ac:dyDescent="0.25">
      <c r="B661" s="71">
        <v>46240</v>
      </c>
      <c r="C661" s="72">
        <v>6</v>
      </c>
      <c r="D661" s="72" t="s">
        <v>101</v>
      </c>
      <c r="E661" s="73" t="s">
        <v>38</v>
      </c>
      <c r="F661" s="73" t="s">
        <v>46</v>
      </c>
      <c r="G661" s="72" t="s">
        <v>84</v>
      </c>
      <c r="H661" s="47">
        <f>IF('Lançamento Diário'!H40="","",'Lançamento Diário'!H40)</f>
        <v>1</v>
      </c>
    </row>
    <row r="662" spans="2:8" x14ac:dyDescent="0.25">
      <c r="B662" s="71">
        <v>46241</v>
      </c>
      <c r="C662" s="72">
        <v>7</v>
      </c>
      <c r="D662" s="72" t="s">
        <v>102</v>
      </c>
      <c r="E662" s="73" t="s">
        <v>38</v>
      </c>
      <c r="F662" s="73" t="s">
        <v>46</v>
      </c>
      <c r="G662" s="72" t="s">
        <v>84</v>
      </c>
      <c r="H662" s="47">
        <f>IF('Lançamento Diário'!I40="","",'Lançamento Diário'!I40)</f>
        <v>2</v>
      </c>
    </row>
    <row r="663" spans="2:8" x14ac:dyDescent="0.25">
      <c r="B663" s="71">
        <v>46242</v>
      </c>
      <c r="C663" s="72">
        <v>8</v>
      </c>
      <c r="D663" s="72" t="s">
        <v>96</v>
      </c>
      <c r="E663" s="73" t="s">
        <v>38</v>
      </c>
      <c r="F663" s="73" t="s">
        <v>46</v>
      </c>
      <c r="G663" s="72" t="s">
        <v>84</v>
      </c>
      <c r="H663" s="47">
        <f>IF('Lançamento Diário'!J40="","",'Lançamento Diário'!J40)</f>
        <v>0</v>
      </c>
    </row>
    <row r="664" spans="2:8" x14ac:dyDescent="0.25">
      <c r="B664" s="71">
        <v>46243</v>
      </c>
      <c r="C664" s="72">
        <v>9</v>
      </c>
      <c r="D664" s="72" t="s">
        <v>97</v>
      </c>
      <c r="E664" s="73" t="s">
        <v>38</v>
      </c>
      <c r="F664" s="73" t="s">
        <v>46</v>
      </c>
      <c r="G664" s="72" t="s">
        <v>84</v>
      </c>
      <c r="H664" s="47">
        <f>IF('Lançamento Diário'!K40="","",'Lançamento Diário'!K40)</f>
        <v>0</v>
      </c>
    </row>
    <row r="665" spans="2:8" x14ac:dyDescent="0.25">
      <c r="B665" s="71">
        <v>46244</v>
      </c>
      <c r="C665" s="72">
        <v>10</v>
      </c>
      <c r="D665" s="72" t="s">
        <v>98</v>
      </c>
      <c r="E665" s="73" t="s">
        <v>38</v>
      </c>
      <c r="F665" s="73" t="s">
        <v>46</v>
      </c>
      <c r="G665" s="72" t="s">
        <v>84</v>
      </c>
      <c r="H665" s="47">
        <f>IF('Lançamento Diário'!L40="","",'Lançamento Diário'!L40)</f>
        <v>1</v>
      </c>
    </row>
    <row r="666" spans="2:8" x14ac:dyDescent="0.25">
      <c r="B666" s="71">
        <v>46245</v>
      </c>
      <c r="C666" s="72">
        <v>11</v>
      </c>
      <c r="D666" s="72" t="s">
        <v>99</v>
      </c>
      <c r="E666" s="73" t="s">
        <v>38</v>
      </c>
      <c r="F666" s="73" t="s">
        <v>46</v>
      </c>
      <c r="G666" s="72" t="s">
        <v>84</v>
      </c>
      <c r="H666" s="47">
        <f>IF('Lançamento Diário'!M40="","",'Lançamento Diário'!M40)</f>
        <v>1</v>
      </c>
    </row>
    <row r="667" spans="2:8" x14ac:dyDescent="0.25">
      <c r="B667" s="71">
        <v>46246</v>
      </c>
      <c r="C667" s="72">
        <v>12</v>
      </c>
      <c r="D667" s="72" t="s">
        <v>100</v>
      </c>
      <c r="E667" s="73" t="s">
        <v>38</v>
      </c>
      <c r="F667" s="73" t="s">
        <v>46</v>
      </c>
      <c r="G667" s="72" t="s">
        <v>84</v>
      </c>
      <c r="H667" s="47">
        <f>IF('Lançamento Diário'!N40="","",'Lançamento Diário'!N40)</f>
        <v>2</v>
      </c>
    </row>
    <row r="668" spans="2:8" x14ac:dyDescent="0.25">
      <c r="B668" s="71">
        <v>46247</v>
      </c>
      <c r="C668" s="72">
        <v>13</v>
      </c>
      <c r="D668" s="72" t="s">
        <v>101</v>
      </c>
      <c r="E668" s="73" t="s">
        <v>38</v>
      </c>
      <c r="F668" s="73" t="s">
        <v>46</v>
      </c>
      <c r="G668" s="72" t="s">
        <v>84</v>
      </c>
      <c r="H668" s="47">
        <f>IF('Lançamento Diário'!O40="","",'Lançamento Diário'!O40)</f>
        <v>0</v>
      </c>
    </row>
    <row r="669" spans="2:8" x14ac:dyDescent="0.25">
      <c r="B669" s="71">
        <v>46248</v>
      </c>
      <c r="C669" s="72">
        <v>14</v>
      </c>
      <c r="D669" s="72" t="s">
        <v>102</v>
      </c>
      <c r="E669" s="73" t="s">
        <v>38</v>
      </c>
      <c r="F669" s="73" t="s">
        <v>46</v>
      </c>
      <c r="G669" s="72" t="s">
        <v>84</v>
      </c>
      <c r="H669" s="47">
        <f>IF('Lançamento Diário'!P40="","",'Lançamento Diário'!P40)</f>
        <v>3</v>
      </c>
    </row>
    <row r="670" spans="2:8" x14ac:dyDescent="0.25">
      <c r="B670" s="71">
        <v>46249</v>
      </c>
      <c r="C670" s="72">
        <v>15</v>
      </c>
      <c r="D670" s="72" t="s">
        <v>96</v>
      </c>
      <c r="E670" s="73" t="s">
        <v>38</v>
      </c>
      <c r="F670" s="73" t="s">
        <v>46</v>
      </c>
      <c r="G670" s="72" t="s">
        <v>84</v>
      </c>
      <c r="H670" s="47">
        <f>IF('Lançamento Diário'!Q40="","",'Lançamento Diário'!Q40)</f>
        <v>0</v>
      </c>
    </row>
    <row r="671" spans="2:8" x14ac:dyDescent="0.25">
      <c r="B671" s="71">
        <v>46250</v>
      </c>
      <c r="C671" s="72">
        <v>16</v>
      </c>
      <c r="D671" s="72" t="s">
        <v>97</v>
      </c>
      <c r="E671" s="73" t="s">
        <v>38</v>
      </c>
      <c r="F671" s="73" t="s">
        <v>46</v>
      </c>
      <c r="G671" s="72" t="s">
        <v>84</v>
      </c>
      <c r="H671" s="47">
        <f>IF('Lançamento Diário'!R40="","",'Lançamento Diário'!R40)</f>
        <v>0</v>
      </c>
    </row>
    <row r="672" spans="2:8" x14ac:dyDescent="0.25">
      <c r="B672" s="71">
        <v>46251</v>
      </c>
      <c r="C672" s="72">
        <v>17</v>
      </c>
      <c r="D672" s="72" t="s">
        <v>98</v>
      </c>
      <c r="E672" s="73" t="s">
        <v>38</v>
      </c>
      <c r="F672" s="73" t="s">
        <v>46</v>
      </c>
      <c r="G672" s="72" t="s">
        <v>84</v>
      </c>
      <c r="H672" s="47">
        <f>IF('Lançamento Diário'!S40="","",'Lançamento Diário'!S40)</f>
        <v>0</v>
      </c>
    </row>
    <row r="673" spans="2:8" x14ac:dyDescent="0.25">
      <c r="B673" s="71">
        <v>46252</v>
      </c>
      <c r="C673" s="72">
        <v>18</v>
      </c>
      <c r="D673" s="72" t="s">
        <v>99</v>
      </c>
      <c r="E673" s="73" t="s">
        <v>38</v>
      </c>
      <c r="F673" s="73" t="s">
        <v>46</v>
      </c>
      <c r="G673" s="72" t="s">
        <v>84</v>
      </c>
      <c r="H673" s="47">
        <f>IF('Lançamento Diário'!T40="","",'Lançamento Diário'!T40)</f>
        <v>1</v>
      </c>
    </row>
    <row r="674" spans="2:8" x14ac:dyDescent="0.25">
      <c r="B674" s="71">
        <v>46253</v>
      </c>
      <c r="C674" s="72">
        <v>19</v>
      </c>
      <c r="D674" s="72" t="s">
        <v>100</v>
      </c>
      <c r="E674" s="73" t="s">
        <v>38</v>
      </c>
      <c r="F674" s="73" t="s">
        <v>46</v>
      </c>
      <c r="G674" s="72" t="s">
        <v>84</v>
      </c>
      <c r="H674" s="47">
        <f>IF('Lançamento Diário'!U40="","",'Lançamento Diário'!U40)</f>
        <v>2</v>
      </c>
    </row>
    <row r="675" spans="2:8" x14ac:dyDescent="0.25">
      <c r="B675" s="71">
        <v>46254</v>
      </c>
      <c r="C675" s="72">
        <v>20</v>
      </c>
      <c r="D675" s="72" t="s">
        <v>101</v>
      </c>
      <c r="E675" s="73" t="s">
        <v>38</v>
      </c>
      <c r="F675" s="73" t="s">
        <v>46</v>
      </c>
      <c r="G675" s="72" t="s">
        <v>84</v>
      </c>
      <c r="H675" s="47">
        <f>IF('Lançamento Diário'!V40="","",'Lançamento Diário'!V40)</f>
        <v>0</v>
      </c>
    </row>
    <row r="676" spans="2:8" x14ac:dyDescent="0.25">
      <c r="B676" s="71">
        <v>46255</v>
      </c>
      <c r="C676" s="72">
        <v>21</v>
      </c>
      <c r="D676" s="72" t="s">
        <v>102</v>
      </c>
      <c r="E676" s="73" t="s">
        <v>38</v>
      </c>
      <c r="F676" s="73" t="s">
        <v>46</v>
      </c>
      <c r="G676" s="72" t="s">
        <v>84</v>
      </c>
      <c r="H676" s="47">
        <f>IF('Lançamento Diário'!W40="","",'Lançamento Diário'!W40)</f>
        <v>0</v>
      </c>
    </row>
    <row r="677" spans="2:8" x14ac:dyDescent="0.25">
      <c r="B677" s="71">
        <v>46256</v>
      </c>
      <c r="C677" s="72">
        <v>22</v>
      </c>
      <c r="D677" s="72" t="s">
        <v>96</v>
      </c>
      <c r="E677" s="73" t="s">
        <v>38</v>
      </c>
      <c r="F677" s="73" t="s">
        <v>46</v>
      </c>
      <c r="G677" s="72" t="s">
        <v>84</v>
      </c>
      <c r="H677" s="47">
        <f>IF('Lançamento Diário'!X40="","",'Lançamento Diário'!X40)</f>
        <v>2</v>
      </c>
    </row>
    <row r="678" spans="2:8" x14ac:dyDescent="0.25">
      <c r="B678" s="71">
        <v>46257</v>
      </c>
      <c r="C678" s="72">
        <v>23</v>
      </c>
      <c r="D678" s="72" t="s">
        <v>97</v>
      </c>
      <c r="E678" s="73" t="s">
        <v>38</v>
      </c>
      <c r="F678" s="73" t="s">
        <v>46</v>
      </c>
      <c r="G678" s="72" t="s">
        <v>84</v>
      </c>
      <c r="H678" s="47">
        <f>IF('Lançamento Diário'!Y40="","",'Lançamento Diário'!Y40)</f>
        <v>0</v>
      </c>
    </row>
    <row r="679" spans="2:8" x14ac:dyDescent="0.25">
      <c r="B679" s="71">
        <v>46258</v>
      </c>
      <c r="C679" s="72">
        <v>24</v>
      </c>
      <c r="D679" s="72" t="s">
        <v>98</v>
      </c>
      <c r="E679" s="73" t="s">
        <v>38</v>
      </c>
      <c r="F679" s="73" t="s">
        <v>46</v>
      </c>
      <c r="G679" s="72" t="s">
        <v>84</v>
      </c>
      <c r="H679" s="47">
        <f>IF('Lançamento Diário'!Z40="","",'Lançamento Diário'!Z40)</f>
        <v>0</v>
      </c>
    </row>
    <row r="680" spans="2:8" x14ac:dyDescent="0.25">
      <c r="B680" s="71">
        <v>46259</v>
      </c>
      <c r="C680" s="72">
        <v>25</v>
      </c>
      <c r="D680" s="72" t="s">
        <v>99</v>
      </c>
      <c r="E680" s="73" t="s">
        <v>38</v>
      </c>
      <c r="F680" s="73" t="s">
        <v>46</v>
      </c>
      <c r="G680" s="72" t="s">
        <v>84</v>
      </c>
      <c r="H680" s="47">
        <f>IF('Lançamento Diário'!AA40="","",'Lançamento Diário'!AA40)</f>
        <v>0</v>
      </c>
    </row>
    <row r="681" spans="2:8" x14ac:dyDescent="0.25">
      <c r="B681" s="71">
        <v>46260</v>
      </c>
      <c r="C681" s="72">
        <v>26</v>
      </c>
      <c r="D681" s="72" t="s">
        <v>100</v>
      </c>
      <c r="E681" s="73" t="s">
        <v>38</v>
      </c>
      <c r="F681" s="73" t="s">
        <v>46</v>
      </c>
      <c r="G681" s="72" t="s">
        <v>84</v>
      </c>
      <c r="H681" s="47">
        <f>IF('Lançamento Diário'!AB40="","",'Lançamento Diário'!AB40)</f>
        <v>2</v>
      </c>
    </row>
    <row r="682" spans="2:8" x14ac:dyDescent="0.25">
      <c r="B682" s="71">
        <v>46261</v>
      </c>
      <c r="C682" s="72">
        <v>27</v>
      </c>
      <c r="D682" s="72" t="s">
        <v>101</v>
      </c>
      <c r="E682" s="73" t="s">
        <v>38</v>
      </c>
      <c r="F682" s="73" t="s">
        <v>46</v>
      </c>
      <c r="G682" s="72" t="s">
        <v>84</v>
      </c>
      <c r="H682" s="47">
        <f>IF('Lançamento Diário'!AC40="","",'Lançamento Diário'!AC40)</f>
        <v>1</v>
      </c>
    </row>
    <row r="683" spans="2:8" x14ac:dyDescent="0.25">
      <c r="B683" s="71">
        <v>46262</v>
      </c>
      <c r="C683" s="72">
        <v>28</v>
      </c>
      <c r="D683" s="72" t="s">
        <v>102</v>
      </c>
      <c r="E683" s="73" t="s">
        <v>38</v>
      </c>
      <c r="F683" s="73" t="s">
        <v>46</v>
      </c>
      <c r="G683" s="72" t="s">
        <v>84</v>
      </c>
      <c r="H683" s="47">
        <f>IF('Lançamento Diário'!AD40="","",'Lançamento Diário'!AD40)</f>
        <v>0</v>
      </c>
    </row>
    <row r="684" spans="2:8" x14ac:dyDescent="0.25">
      <c r="B684" s="71">
        <v>46263</v>
      </c>
      <c r="C684" s="72">
        <v>29</v>
      </c>
      <c r="D684" s="72" t="s">
        <v>96</v>
      </c>
      <c r="E684" s="73" t="s">
        <v>38</v>
      </c>
      <c r="F684" s="73" t="s">
        <v>46</v>
      </c>
      <c r="G684" s="72" t="s">
        <v>84</v>
      </c>
      <c r="H684" s="47">
        <f>IF('Lançamento Diário'!AE40="","",'Lançamento Diário'!AE40)</f>
        <v>1</v>
      </c>
    </row>
    <row r="685" spans="2:8" x14ac:dyDescent="0.25">
      <c r="B685" s="71">
        <v>46264</v>
      </c>
      <c r="C685" s="72">
        <v>30</v>
      </c>
      <c r="D685" s="72" t="s">
        <v>97</v>
      </c>
      <c r="E685" s="73" t="s">
        <v>38</v>
      </c>
      <c r="F685" s="73" t="s">
        <v>46</v>
      </c>
      <c r="G685" s="72" t="s">
        <v>84</v>
      </c>
      <c r="H685" s="47">
        <f>IF('Lançamento Diário'!AF40="","",'Lançamento Diário'!AF40)</f>
        <v>0</v>
      </c>
    </row>
    <row r="686" spans="2:8" x14ac:dyDescent="0.25">
      <c r="B686" s="71">
        <v>46265</v>
      </c>
      <c r="C686" s="72">
        <v>31</v>
      </c>
      <c r="D686" s="72" t="s">
        <v>98</v>
      </c>
      <c r="E686" s="73" t="s">
        <v>38</v>
      </c>
      <c r="F686" s="73" t="s">
        <v>46</v>
      </c>
      <c r="G686" s="72" t="s">
        <v>84</v>
      </c>
      <c r="H686" s="47">
        <f>IF('Lançamento Diário'!AG40="","",'Lançamento Diário'!AG40)</f>
        <v>1</v>
      </c>
    </row>
    <row r="687" spans="2:8" x14ac:dyDescent="0.25">
      <c r="B687" s="71">
        <v>46235</v>
      </c>
      <c r="C687" s="72">
        <v>1</v>
      </c>
      <c r="D687" s="72" t="s">
        <v>96</v>
      </c>
      <c r="E687" s="73" t="s">
        <v>38</v>
      </c>
      <c r="F687" s="73" t="s">
        <v>47</v>
      </c>
      <c r="G687" s="72" t="s">
        <v>85</v>
      </c>
      <c r="H687" s="47">
        <f>IF('Lançamento Diário'!C41="","",'Lançamento Diário'!C41)</f>
        <v>2</v>
      </c>
    </row>
    <row r="688" spans="2:8" x14ac:dyDescent="0.25">
      <c r="B688" s="71">
        <v>46236</v>
      </c>
      <c r="C688" s="72">
        <v>2</v>
      </c>
      <c r="D688" s="72" t="s">
        <v>97</v>
      </c>
      <c r="E688" s="73" t="s">
        <v>38</v>
      </c>
      <c r="F688" s="73" t="s">
        <v>47</v>
      </c>
      <c r="G688" s="72" t="s">
        <v>85</v>
      </c>
      <c r="H688" s="47">
        <f>IF('Lançamento Diário'!D41="","",'Lançamento Diário'!D41)</f>
        <v>0</v>
      </c>
    </row>
    <row r="689" spans="2:8" x14ac:dyDescent="0.25">
      <c r="B689" s="71">
        <v>46237</v>
      </c>
      <c r="C689" s="72">
        <v>3</v>
      </c>
      <c r="D689" s="72" t="s">
        <v>98</v>
      </c>
      <c r="E689" s="73" t="s">
        <v>38</v>
      </c>
      <c r="F689" s="73" t="s">
        <v>47</v>
      </c>
      <c r="G689" s="72" t="s">
        <v>85</v>
      </c>
      <c r="H689" s="47">
        <f>IF('Lançamento Diário'!E41="","",'Lançamento Diário'!E41)</f>
        <v>3</v>
      </c>
    </row>
    <row r="690" spans="2:8" x14ac:dyDescent="0.25">
      <c r="B690" s="71">
        <v>46238</v>
      </c>
      <c r="C690" s="72">
        <v>4</v>
      </c>
      <c r="D690" s="72" t="s">
        <v>99</v>
      </c>
      <c r="E690" s="73" t="s">
        <v>38</v>
      </c>
      <c r="F690" s="73" t="s">
        <v>47</v>
      </c>
      <c r="G690" s="72" t="s">
        <v>85</v>
      </c>
      <c r="H690" s="47">
        <f>IF('Lançamento Diário'!F41="","",'Lançamento Diário'!F41)</f>
        <v>2</v>
      </c>
    </row>
    <row r="691" spans="2:8" x14ac:dyDescent="0.25">
      <c r="B691" s="71">
        <v>46239</v>
      </c>
      <c r="C691" s="72">
        <v>5</v>
      </c>
      <c r="D691" s="72" t="s">
        <v>100</v>
      </c>
      <c r="E691" s="73" t="s">
        <v>38</v>
      </c>
      <c r="F691" s="73" t="s">
        <v>47</v>
      </c>
      <c r="G691" s="72" t="s">
        <v>85</v>
      </c>
      <c r="H691" s="47">
        <f>IF('Lançamento Diário'!G41="","",'Lançamento Diário'!G41)</f>
        <v>1</v>
      </c>
    </row>
    <row r="692" spans="2:8" x14ac:dyDescent="0.25">
      <c r="B692" s="71">
        <v>46240</v>
      </c>
      <c r="C692" s="72">
        <v>6</v>
      </c>
      <c r="D692" s="72" t="s">
        <v>101</v>
      </c>
      <c r="E692" s="73" t="s">
        <v>38</v>
      </c>
      <c r="F692" s="73" t="s">
        <v>47</v>
      </c>
      <c r="G692" s="72" t="s">
        <v>85</v>
      </c>
      <c r="H692" s="47">
        <f>IF('Lançamento Diário'!H41="","",'Lançamento Diário'!H41)</f>
        <v>2</v>
      </c>
    </row>
    <row r="693" spans="2:8" x14ac:dyDescent="0.25">
      <c r="B693" s="71">
        <v>46241</v>
      </c>
      <c r="C693" s="72">
        <v>7</v>
      </c>
      <c r="D693" s="72" t="s">
        <v>102</v>
      </c>
      <c r="E693" s="73" t="s">
        <v>38</v>
      </c>
      <c r="F693" s="73" t="s">
        <v>47</v>
      </c>
      <c r="G693" s="72" t="s">
        <v>85</v>
      </c>
      <c r="H693" s="47">
        <f>IF('Lançamento Diário'!I41="","",'Lançamento Diário'!I41)</f>
        <v>2</v>
      </c>
    </row>
    <row r="694" spans="2:8" x14ac:dyDescent="0.25">
      <c r="B694" s="71">
        <v>46242</v>
      </c>
      <c r="C694" s="72">
        <v>8</v>
      </c>
      <c r="D694" s="72" t="s">
        <v>96</v>
      </c>
      <c r="E694" s="73" t="s">
        <v>38</v>
      </c>
      <c r="F694" s="73" t="s">
        <v>47</v>
      </c>
      <c r="G694" s="72" t="s">
        <v>85</v>
      </c>
      <c r="H694" s="47">
        <f>IF('Lançamento Diário'!J41="","",'Lançamento Diário'!J41)</f>
        <v>2</v>
      </c>
    </row>
    <row r="695" spans="2:8" x14ac:dyDescent="0.25">
      <c r="B695" s="71">
        <v>46243</v>
      </c>
      <c r="C695" s="72">
        <v>9</v>
      </c>
      <c r="D695" s="72" t="s">
        <v>97</v>
      </c>
      <c r="E695" s="73" t="s">
        <v>38</v>
      </c>
      <c r="F695" s="73" t="s">
        <v>47</v>
      </c>
      <c r="G695" s="72" t="s">
        <v>85</v>
      </c>
      <c r="H695" s="47">
        <f>IF('Lançamento Diário'!K41="","",'Lançamento Diário'!K41)</f>
        <v>0</v>
      </c>
    </row>
    <row r="696" spans="2:8" x14ac:dyDescent="0.25">
      <c r="B696" s="71">
        <v>46244</v>
      </c>
      <c r="C696" s="72">
        <v>10</v>
      </c>
      <c r="D696" s="72" t="s">
        <v>98</v>
      </c>
      <c r="E696" s="73" t="s">
        <v>38</v>
      </c>
      <c r="F696" s="73" t="s">
        <v>47</v>
      </c>
      <c r="G696" s="72" t="s">
        <v>85</v>
      </c>
      <c r="H696" s="47">
        <f>IF('Lançamento Diário'!L41="","",'Lançamento Diário'!L41)</f>
        <v>1</v>
      </c>
    </row>
    <row r="697" spans="2:8" x14ac:dyDescent="0.25">
      <c r="B697" s="71">
        <v>46245</v>
      </c>
      <c r="C697" s="72">
        <v>11</v>
      </c>
      <c r="D697" s="72" t="s">
        <v>99</v>
      </c>
      <c r="E697" s="73" t="s">
        <v>38</v>
      </c>
      <c r="F697" s="73" t="s">
        <v>47</v>
      </c>
      <c r="G697" s="72" t="s">
        <v>85</v>
      </c>
      <c r="H697" s="47">
        <f>IF('Lançamento Diário'!M41="","",'Lançamento Diário'!M41)</f>
        <v>2</v>
      </c>
    </row>
    <row r="698" spans="2:8" x14ac:dyDescent="0.25">
      <c r="B698" s="71">
        <v>46246</v>
      </c>
      <c r="C698" s="72">
        <v>12</v>
      </c>
      <c r="D698" s="72" t="s">
        <v>100</v>
      </c>
      <c r="E698" s="73" t="s">
        <v>38</v>
      </c>
      <c r="F698" s="73" t="s">
        <v>47</v>
      </c>
      <c r="G698" s="72" t="s">
        <v>85</v>
      </c>
      <c r="H698" s="47">
        <f>IF('Lançamento Diário'!N41="","",'Lançamento Diário'!N41)</f>
        <v>1</v>
      </c>
    </row>
    <row r="699" spans="2:8" x14ac:dyDescent="0.25">
      <c r="B699" s="71">
        <v>46247</v>
      </c>
      <c r="C699" s="72">
        <v>13</v>
      </c>
      <c r="D699" s="72" t="s">
        <v>101</v>
      </c>
      <c r="E699" s="73" t="s">
        <v>38</v>
      </c>
      <c r="F699" s="73" t="s">
        <v>47</v>
      </c>
      <c r="G699" s="72" t="s">
        <v>85</v>
      </c>
      <c r="H699" s="47">
        <f>IF('Lançamento Diário'!O41="","",'Lançamento Diário'!O41)</f>
        <v>1</v>
      </c>
    </row>
    <row r="700" spans="2:8" x14ac:dyDescent="0.25">
      <c r="B700" s="71">
        <v>46248</v>
      </c>
      <c r="C700" s="72">
        <v>14</v>
      </c>
      <c r="D700" s="72" t="s">
        <v>102</v>
      </c>
      <c r="E700" s="73" t="s">
        <v>38</v>
      </c>
      <c r="F700" s="73" t="s">
        <v>47</v>
      </c>
      <c r="G700" s="72" t="s">
        <v>85</v>
      </c>
      <c r="H700" s="47">
        <f>IF('Lançamento Diário'!P41="","",'Lançamento Diário'!P41)</f>
        <v>4</v>
      </c>
    </row>
    <row r="701" spans="2:8" x14ac:dyDescent="0.25">
      <c r="B701" s="71">
        <v>46249</v>
      </c>
      <c r="C701" s="72">
        <v>15</v>
      </c>
      <c r="D701" s="72" t="s">
        <v>96</v>
      </c>
      <c r="E701" s="73" t="s">
        <v>38</v>
      </c>
      <c r="F701" s="73" t="s">
        <v>47</v>
      </c>
      <c r="G701" s="72" t="s">
        <v>85</v>
      </c>
      <c r="H701" s="47">
        <f>IF('Lançamento Diário'!Q41="","",'Lançamento Diário'!Q41)</f>
        <v>0</v>
      </c>
    </row>
    <row r="702" spans="2:8" x14ac:dyDescent="0.25">
      <c r="B702" s="71">
        <v>46250</v>
      </c>
      <c r="C702" s="72">
        <v>16</v>
      </c>
      <c r="D702" s="72" t="s">
        <v>97</v>
      </c>
      <c r="E702" s="73" t="s">
        <v>38</v>
      </c>
      <c r="F702" s="73" t="s">
        <v>47</v>
      </c>
      <c r="G702" s="72" t="s">
        <v>85</v>
      </c>
      <c r="H702" s="47">
        <f>IF('Lançamento Diário'!R41="","",'Lançamento Diário'!R41)</f>
        <v>0</v>
      </c>
    </row>
    <row r="703" spans="2:8" x14ac:dyDescent="0.25">
      <c r="B703" s="71">
        <v>46251</v>
      </c>
      <c r="C703" s="72">
        <v>17</v>
      </c>
      <c r="D703" s="72" t="s">
        <v>98</v>
      </c>
      <c r="E703" s="73" t="s">
        <v>38</v>
      </c>
      <c r="F703" s="73" t="s">
        <v>47</v>
      </c>
      <c r="G703" s="72" t="s">
        <v>85</v>
      </c>
      <c r="H703" s="47">
        <f>IF('Lançamento Diário'!S41="","",'Lançamento Diário'!S41)</f>
        <v>2</v>
      </c>
    </row>
    <row r="704" spans="2:8" x14ac:dyDescent="0.25">
      <c r="B704" s="71">
        <v>46252</v>
      </c>
      <c r="C704" s="72">
        <v>18</v>
      </c>
      <c r="D704" s="72" t="s">
        <v>99</v>
      </c>
      <c r="E704" s="73" t="s">
        <v>38</v>
      </c>
      <c r="F704" s="73" t="s">
        <v>47</v>
      </c>
      <c r="G704" s="72" t="s">
        <v>85</v>
      </c>
      <c r="H704" s="47">
        <f>IF('Lançamento Diário'!T41="","",'Lançamento Diário'!T41)</f>
        <v>1</v>
      </c>
    </row>
    <row r="705" spans="2:8" x14ac:dyDescent="0.25">
      <c r="B705" s="71">
        <v>46253</v>
      </c>
      <c r="C705" s="72">
        <v>19</v>
      </c>
      <c r="D705" s="72" t="s">
        <v>100</v>
      </c>
      <c r="E705" s="73" t="s">
        <v>38</v>
      </c>
      <c r="F705" s="73" t="s">
        <v>47</v>
      </c>
      <c r="G705" s="72" t="s">
        <v>85</v>
      </c>
      <c r="H705" s="47">
        <f>IF('Lançamento Diário'!U41="","",'Lançamento Diário'!U41)</f>
        <v>2</v>
      </c>
    </row>
    <row r="706" spans="2:8" x14ac:dyDescent="0.25">
      <c r="B706" s="71">
        <v>46254</v>
      </c>
      <c r="C706" s="72">
        <v>20</v>
      </c>
      <c r="D706" s="72" t="s">
        <v>101</v>
      </c>
      <c r="E706" s="73" t="s">
        <v>38</v>
      </c>
      <c r="F706" s="73" t="s">
        <v>47</v>
      </c>
      <c r="G706" s="72" t="s">
        <v>85</v>
      </c>
      <c r="H706" s="47">
        <f>IF('Lançamento Diário'!V41="","",'Lançamento Diário'!V41)</f>
        <v>1</v>
      </c>
    </row>
    <row r="707" spans="2:8" x14ac:dyDescent="0.25">
      <c r="B707" s="71">
        <v>46255</v>
      </c>
      <c r="C707" s="72">
        <v>21</v>
      </c>
      <c r="D707" s="72" t="s">
        <v>102</v>
      </c>
      <c r="E707" s="73" t="s">
        <v>38</v>
      </c>
      <c r="F707" s="73" t="s">
        <v>47</v>
      </c>
      <c r="G707" s="72" t="s">
        <v>85</v>
      </c>
      <c r="H707" s="47">
        <f>IF('Lançamento Diário'!W41="","",'Lançamento Diário'!W41)</f>
        <v>0</v>
      </c>
    </row>
    <row r="708" spans="2:8" x14ac:dyDescent="0.25">
      <c r="B708" s="71">
        <v>46256</v>
      </c>
      <c r="C708" s="72">
        <v>22</v>
      </c>
      <c r="D708" s="72" t="s">
        <v>96</v>
      </c>
      <c r="E708" s="73" t="s">
        <v>38</v>
      </c>
      <c r="F708" s="73" t="s">
        <v>47</v>
      </c>
      <c r="G708" s="72" t="s">
        <v>85</v>
      </c>
      <c r="H708" s="47">
        <f>IF('Lançamento Diário'!X41="","",'Lançamento Diário'!X41)</f>
        <v>0</v>
      </c>
    </row>
    <row r="709" spans="2:8" x14ac:dyDescent="0.25">
      <c r="B709" s="71">
        <v>46257</v>
      </c>
      <c r="C709" s="72">
        <v>23</v>
      </c>
      <c r="D709" s="72" t="s">
        <v>97</v>
      </c>
      <c r="E709" s="73" t="s">
        <v>38</v>
      </c>
      <c r="F709" s="73" t="s">
        <v>47</v>
      </c>
      <c r="G709" s="72" t="s">
        <v>85</v>
      </c>
      <c r="H709" s="47">
        <f>IF('Lançamento Diário'!Y41="","",'Lançamento Diário'!Y41)</f>
        <v>0</v>
      </c>
    </row>
    <row r="710" spans="2:8" x14ac:dyDescent="0.25">
      <c r="B710" s="71">
        <v>46258</v>
      </c>
      <c r="C710" s="72">
        <v>24</v>
      </c>
      <c r="D710" s="72" t="s">
        <v>98</v>
      </c>
      <c r="E710" s="73" t="s">
        <v>38</v>
      </c>
      <c r="F710" s="73" t="s">
        <v>47</v>
      </c>
      <c r="G710" s="72" t="s">
        <v>85</v>
      </c>
      <c r="H710" s="47">
        <f>IF('Lançamento Diário'!Z41="","",'Lançamento Diário'!Z41)</f>
        <v>2</v>
      </c>
    </row>
    <row r="711" spans="2:8" x14ac:dyDescent="0.25">
      <c r="B711" s="71">
        <v>46259</v>
      </c>
      <c r="C711" s="72">
        <v>25</v>
      </c>
      <c r="D711" s="72" t="s">
        <v>99</v>
      </c>
      <c r="E711" s="73" t="s">
        <v>38</v>
      </c>
      <c r="F711" s="73" t="s">
        <v>47</v>
      </c>
      <c r="G711" s="72" t="s">
        <v>85</v>
      </c>
      <c r="H711" s="47">
        <f>IF('Lançamento Diário'!AA41="","",'Lançamento Diário'!AA41)</f>
        <v>2</v>
      </c>
    </row>
    <row r="712" spans="2:8" x14ac:dyDescent="0.25">
      <c r="B712" s="71">
        <v>46260</v>
      </c>
      <c r="C712" s="72">
        <v>26</v>
      </c>
      <c r="D712" s="72" t="s">
        <v>100</v>
      </c>
      <c r="E712" s="73" t="s">
        <v>38</v>
      </c>
      <c r="F712" s="73" t="s">
        <v>47</v>
      </c>
      <c r="G712" s="72" t="s">
        <v>85</v>
      </c>
      <c r="H712" s="47">
        <f>IF('Lançamento Diário'!AB41="","",'Lançamento Diário'!AB41)</f>
        <v>3</v>
      </c>
    </row>
    <row r="713" spans="2:8" x14ac:dyDescent="0.25">
      <c r="B713" s="71">
        <v>46261</v>
      </c>
      <c r="C713" s="72">
        <v>27</v>
      </c>
      <c r="D713" s="72" t="s">
        <v>101</v>
      </c>
      <c r="E713" s="73" t="s">
        <v>38</v>
      </c>
      <c r="F713" s="73" t="s">
        <v>47</v>
      </c>
      <c r="G713" s="72" t="s">
        <v>85</v>
      </c>
      <c r="H713" s="47">
        <f>IF('Lançamento Diário'!AC41="","",'Lançamento Diário'!AC41)</f>
        <v>0</v>
      </c>
    </row>
    <row r="714" spans="2:8" x14ac:dyDescent="0.25">
      <c r="B714" s="71">
        <v>46262</v>
      </c>
      <c r="C714" s="72">
        <v>28</v>
      </c>
      <c r="D714" s="72" t="s">
        <v>102</v>
      </c>
      <c r="E714" s="73" t="s">
        <v>38</v>
      </c>
      <c r="F714" s="73" t="s">
        <v>47</v>
      </c>
      <c r="G714" s="72" t="s">
        <v>85</v>
      </c>
      <c r="H714" s="47">
        <f>IF('Lançamento Diário'!AD41="","",'Lançamento Diário'!AD41)</f>
        <v>1</v>
      </c>
    </row>
    <row r="715" spans="2:8" x14ac:dyDescent="0.25">
      <c r="B715" s="71">
        <v>46263</v>
      </c>
      <c r="C715" s="72">
        <v>29</v>
      </c>
      <c r="D715" s="72" t="s">
        <v>96</v>
      </c>
      <c r="E715" s="73" t="s">
        <v>38</v>
      </c>
      <c r="F715" s="73" t="s">
        <v>47</v>
      </c>
      <c r="G715" s="72" t="s">
        <v>85</v>
      </c>
      <c r="H715" s="47">
        <f>IF('Lançamento Diário'!AE41="","",'Lançamento Diário'!AE41)</f>
        <v>0</v>
      </c>
    </row>
    <row r="716" spans="2:8" x14ac:dyDescent="0.25">
      <c r="B716" s="71">
        <v>46264</v>
      </c>
      <c r="C716" s="72">
        <v>30</v>
      </c>
      <c r="D716" s="72" t="s">
        <v>97</v>
      </c>
      <c r="E716" s="73" t="s">
        <v>38</v>
      </c>
      <c r="F716" s="73" t="s">
        <v>47</v>
      </c>
      <c r="G716" s="72" t="s">
        <v>85</v>
      </c>
      <c r="H716" s="47">
        <f>IF('Lançamento Diário'!AF41="","",'Lançamento Diário'!AF41)</f>
        <v>0</v>
      </c>
    </row>
    <row r="717" spans="2:8" x14ac:dyDescent="0.25">
      <c r="B717" s="71">
        <v>46265</v>
      </c>
      <c r="C717" s="72">
        <v>31</v>
      </c>
      <c r="D717" s="72" t="s">
        <v>98</v>
      </c>
      <c r="E717" s="73" t="s">
        <v>38</v>
      </c>
      <c r="F717" s="73" t="s">
        <v>47</v>
      </c>
      <c r="G717" s="72" t="s">
        <v>85</v>
      </c>
      <c r="H717" s="47">
        <f>IF('Lançamento Diário'!AG41="","",'Lançamento Diário'!AG41)</f>
        <v>4</v>
      </c>
    </row>
    <row r="718" spans="2:8" x14ac:dyDescent="0.25">
      <c r="B718" s="71">
        <v>46235</v>
      </c>
      <c r="C718" s="72">
        <v>1</v>
      </c>
      <c r="D718" s="72" t="s">
        <v>96</v>
      </c>
      <c r="E718" s="73" t="s">
        <v>38</v>
      </c>
      <c r="F718" s="73" t="s">
        <v>48</v>
      </c>
      <c r="G718" s="72" t="s">
        <v>85</v>
      </c>
      <c r="H718" s="47">
        <f>IF('Lançamento Diário'!C42="","",'Lançamento Diário'!C42)</f>
        <v>2</v>
      </c>
    </row>
    <row r="719" spans="2:8" x14ac:dyDescent="0.25">
      <c r="B719" s="71">
        <v>46236</v>
      </c>
      <c r="C719" s="72">
        <v>2</v>
      </c>
      <c r="D719" s="72" t="s">
        <v>97</v>
      </c>
      <c r="E719" s="73" t="s">
        <v>38</v>
      </c>
      <c r="F719" s="73" t="s">
        <v>48</v>
      </c>
      <c r="G719" s="72" t="s">
        <v>85</v>
      </c>
      <c r="H719" s="47">
        <f>IF('Lançamento Diário'!D42="","",'Lançamento Diário'!D42)</f>
        <v>0</v>
      </c>
    </row>
    <row r="720" spans="2:8" x14ac:dyDescent="0.25">
      <c r="B720" s="71">
        <v>46237</v>
      </c>
      <c r="C720" s="72">
        <v>3</v>
      </c>
      <c r="D720" s="72" t="s">
        <v>98</v>
      </c>
      <c r="E720" s="73" t="s">
        <v>38</v>
      </c>
      <c r="F720" s="73" t="s">
        <v>48</v>
      </c>
      <c r="G720" s="72" t="s">
        <v>85</v>
      </c>
      <c r="H720" s="47">
        <f>IF('Lançamento Diário'!E42="","",'Lançamento Diário'!E42)</f>
        <v>11</v>
      </c>
    </row>
    <row r="721" spans="2:8" x14ac:dyDescent="0.25">
      <c r="B721" s="71">
        <v>46238</v>
      </c>
      <c r="C721" s="72">
        <v>4</v>
      </c>
      <c r="D721" s="72" t="s">
        <v>99</v>
      </c>
      <c r="E721" s="73" t="s">
        <v>38</v>
      </c>
      <c r="F721" s="73" t="s">
        <v>48</v>
      </c>
      <c r="G721" s="72" t="s">
        <v>85</v>
      </c>
      <c r="H721" s="47">
        <f>IF('Lançamento Diário'!F42="","",'Lançamento Diário'!F42)</f>
        <v>6</v>
      </c>
    </row>
    <row r="722" spans="2:8" x14ac:dyDescent="0.25">
      <c r="B722" s="71">
        <v>46239</v>
      </c>
      <c r="C722" s="72">
        <v>5</v>
      </c>
      <c r="D722" s="72" t="s">
        <v>100</v>
      </c>
      <c r="E722" s="73" t="s">
        <v>38</v>
      </c>
      <c r="F722" s="73" t="s">
        <v>48</v>
      </c>
      <c r="G722" s="72" t="s">
        <v>85</v>
      </c>
      <c r="H722" s="47">
        <f>IF('Lançamento Diário'!G42="","",'Lançamento Diário'!G42)</f>
        <v>11</v>
      </c>
    </row>
    <row r="723" spans="2:8" x14ac:dyDescent="0.25">
      <c r="B723" s="71">
        <v>46240</v>
      </c>
      <c r="C723" s="72">
        <v>6</v>
      </c>
      <c r="D723" s="72" t="s">
        <v>101</v>
      </c>
      <c r="E723" s="73" t="s">
        <v>38</v>
      </c>
      <c r="F723" s="73" t="s">
        <v>48</v>
      </c>
      <c r="G723" s="72" t="s">
        <v>85</v>
      </c>
      <c r="H723" s="47">
        <f>IF('Lançamento Diário'!H42="","",'Lançamento Diário'!H42)</f>
        <v>7</v>
      </c>
    </row>
    <row r="724" spans="2:8" x14ac:dyDescent="0.25">
      <c r="B724" s="71">
        <v>46241</v>
      </c>
      <c r="C724" s="72">
        <v>7</v>
      </c>
      <c r="D724" s="72" t="s">
        <v>102</v>
      </c>
      <c r="E724" s="73" t="s">
        <v>38</v>
      </c>
      <c r="F724" s="73" t="s">
        <v>48</v>
      </c>
      <c r="G724" s="72" t="s">
        <v>85</v>
      </c>
      <c r="H724" s="47">
        <f>IF('Lançamento Diário'!I42="","",'Lançamento Diário'!I42)</f>
        <v>10</v>
      </c>
    </row>
    <row r="725" spans="2:8" x14ac:dyDescent="0.25">
      <c r="B725" s="71">
        <v>46242</v>
      </c>
      <c r="C725" s="72">
        <v>8</v>
      </c>
      <c r="D725" s="72" t="s">
        <v>96</v>
      </c>
      <c r="E725" s="73" t="s">
        <v>38</v>
      </c>
      <c r="F725" s="73" t="s">
        <v>48</v>
      </c>
      <c r="G725" s="72" t="s">
        <v>85</v>
      </c>
      <c r="H725" s="47">
        <f>IF('Lançamento Diário'!J42="","",'Lançamento Diário'!J42)</f>
        <v>5</v>
      </c>
    </row>
    <row r="726" spans="2:8" x14ac:dyDescent="0.25">
      <c r="B726" s="71">
        <v>46243</v>
      </c>
      <c r="C726" s="72">
        <v>9</v>
      </c>
      <c r="D726" s="72" t="s">
        <v>97</v>
      </c>
      <c r="E726" s="73" t="s">
        <v>38</v>
      </c>
      <c r="F726" s="73" t="s">
        <v>48</v>
      </c>
      <c r="G726" s="72" t="s">
        <v>85</v>
      </c>
      <c r="H726" s="47">
        <f>IF('Lançamento Diário'!K42="","",'Lançamento Diário'!K42)</f>
        <v>0</v>
      </c>
    </row>
    <row r="727" spans="2:8" x14ac:dyDescent="0.25">
      <c r="B727" s="71">
        <v>46244</v>
      </c>
      <c r="C727" s="72">
        <v>10</v>
      </c>
      <c r="D727" s="72" t="s">
        <v>98</v>
      </c>
      <c r="E727" s="73" t="s">
        <v>38</v>
      </c>
      <c r="F727" s="73" t="s">
        <v>48</v>
      </c>
      <c r="G727" s="72" t="s">
        <v>85</v>
      </c>
      <c r="H727" s="47">
        <f>IF('Lançamento Diário'!L42="","",'Lançamento Diário'!L42)</f>
        <v>5</v>
      </c>
    </row>
    <row r="728" spans="2:8" x14ac:dyDescent="0.25">
      <c r="B728" s="71">
        <v>46245</v>
      </c>
      <c r="C728" s="72">
        <v>11</v>
      </c>
      <c r="D728" s="72" t="s">
        <v>99</v>
      </c>
      <c r="E728" s="73" t="s">
        <v>38</v>
      </c>
      <c r="F728" s="73" t="s">
        <v>48</v>
      </c>
      <c r="G728" s="72" t="s">
        <v>85</v>
      </c>
      <c r="H728" s="47">
        <f>IF('Lançamento Diário'!M42="","",'Lançamento Diário'!M42)</f>
        <v>2</v>
      </c>
    </row>
    <row r="729" spans="2:8" x14ac:dyDescent="0.25">
      <c r="B729" s="71">
        <v>46246</v>
      </c>
      <c r="C729" s="72">
        <v>12</v>
      </c>
      <c r="D729" s="72" t="s">
        <v>100</v>
      </c>
      <c r="E729" s="73" t="s">
        <v>38</v>
      </c>
      <c r="F729" s="73" t="s">
        <v>48</v>
      </c>
      <c r="G729" s="72" t="s">
        <v>85</v>
      </c>
      <c r="H729" s="47">
        <f>IF('Lançamento Diário'!N42="","",'Lançamento Diário'!N42)</f>
        <v>4</v>
      </c>
    </row>
    <row r="730" spans="2:8" x14ac:dyDescent="0.25">
      <c r="B730" s="71">
        <v>46247</v>
      </c>
      <c r="C730" s="72">
        <v>13</v>
      </c>
      <c r="D730" s="72" t="s">
        <v>101</v>
      </c>
      <c r="E730" s="73" t="s">
        <v>38</v>
      </c>
      <c r="F730" s="73" t="s">
        <v>48</v>
      </c>
      <c r="G730" s="72" t="s">
        <v>85</v>
      </c>
      <c r="H730" s="47">
        <f>IF('Lançamento Diário'!O42="","",'Lançamento Diário'!O42)</f>
        <v>1</v>
      </c>
    </row>
    <row r="731" spans="2:8" x14ac:dyDescent="0.25">
      <c r="B731" s="71">
        <v>46248</v>
      </c>
      <c r="C731" s="72">
        <v>14</v>
      </c>
      <c r="D731" s="72" t="s">
        <v>102</v>
      </c>
      <c r="E731" s="73" t="s">
        <v>38</v>
      </c>
      <c r="F731" s="73" t="s">
        <v>48</v>
      </c>
      <c r="G731" s="72" t="s">
        <v>85</v>
      </c>
      <c r="H731" s="47">
        <f>IF('Lançamento Diário'!P42="","",'Lançamento Diário'!P42)</f>
        <v>5</v>
      </c>
    </row>
    <row r="732" spans="2:8" x14ac:dyDescent="0.25">
      <c r="B732" s="71">
        <v>46249</v>
      </c>
      <c r="C732" s="72">
        <v>15</v>
      </c>
      <c r="D732" s="72" t="s">
        <v>96</v>
      </c>
      <c r="E732" s="73" t="s">
        <v>38</v>
      </c>
      <c r="F732" s="73" t="s">
        <v>48</v>
      </c>
      <c r="G732" s="72" t="s">
        <v>85</v>
      </c>
      <c r="H732" s="47">
        <f>IF('Lançamento Diário'!Q42="","",'Lançamento Diário'!Q42)</f>
        <v>0</v>
      </c>
    </row>
    <row r="733" spans="2:8" x14ac:dyDescent="0.25">
      <c r="B733" s="71">
        <v>46250</v>
      </c>
      <c r="C733" s="72">
        <v>16</v>
      </c>
      <c r="D733" s="72" t="s">
        <v>97</v>
      </c>
      <c r="E733" s="73" t="s">
        <v>38</v>
      </c>
      <c r="F733" s="73" t="s">
        <v>48</v>
      </c>
      <c r="G733" s="72" t="s">
        <v>85</v>
      </c>
      <c r="H733" s="47">
        <f>IF('Lançamento Diário'!R42="","",'Lançamento Diário'!R42)</f>
        <v>0</v>
      </c>
    </row>
    <row r="734" spans="2:8" x14ac:dyDescent="0.25">
      <c r="B734" s="71">
        <v>46251</v>
      </c>
      <c r="C734" s="72">
        <v>17</v>
      </c>
      <c r="D734" s="72" t="s">
        <v>98</v>
      </c>
      <c r="E734" s="73" t="s">
        <v>38</v>
      </c>
      <c r="F734" s="73" t="s">
        <v>48</v>
      </c>
      <c r="G734" s="72" t="s">
        <v>85</v>
      </c>
      <c r="H734" s="47">
        <f>IF('Lançamento Diário'!S42="","",'Lançamento Diário'!S42)</f>
        <v>5</v>
      </c>
    </row>
    <row r="735" spans="2:8" x14ac:dyDescent="0.25">
      <c r="B735" s="71">
        <v>46252</v>
      </c>
      <c r="C735" s="72">
        <v>18</v>
      </c>
      <c r="D735" s="72" t="s">
        <v>99</v>
      </c>
      <c r="E735" s="73" t="s">
        <v>38</v>
      </c>
      <c r="F735" s="73" t="s">
        <v>48</v>
      </c>
      <c r="G735" s="72" t="s">
        <v>85</v>
      </c>
      <c r="H735" s="47">
        <f>IF('Lançamento Diário'!T42="","",'Lançamento Diário'!T42)</f>
        <v>6</v>
      </c>
    </row>
    <row r="736" spans="2:8" x14ac:dyDescent="0.25">
      <c r="B736" s="71">
        <v>46253</v>
      </c>
      <c r="C736" s="72">
        <v>19</v>
      </c>
      <c r="D736" s="72" t="s">
        <v>100</v>
      </c>
      <c r="E736" s="73" t="s">
        <v>38</v>
      </c>
      <c r="F736" s="73" t="s">
        <v>48</v>
      </c>
      <c r="G736" s="72" t="s">
        <v>85</v>
      </c>
      <c r="H736" s="47">
        <f>IF('Lançamento Diário'!U42="","",'Lançamento Diário'!U42)</f>
        <v>1</v>
      </c>
    </row>
    <row r="737" spans="2:8" x14ac:dyDescent="0.25">
      <c r="B737" s="71">
        <v>46254</v>
      </c>
      <c r="C737" s="72">
        <v>20</v>
      </c>
      <c r="D737" s="72" t="s">
        <v>101</v>
      </c>
      <c r="E737" s="73" t="s">
        <v>38</v>
      </c>
      <c r="F737" s="73" t="s">
        <v>48</v>
      </c>
      <c r="G737" s="72" t="s">
        <v>85</v>
      </c>
      <c r="H737" s="47">
        <f>IF('Lançamento Diário'!V42="","",'Lançamento Diário'!V42)</f>
        <v>3</v>
      </c>
    </row>
    <row r="738" spans="2:8" x14ac:dyDescent="0.25">
      <c r="B738" s="71">
        <v>46255</v>
      </c>
      <c r="C738" s="72">
        <v>21</v>
      </c>
      <c r="D738" s="72" t="s">
        <v>102</v>
      </c>
      <c r="E738" s="73" t="s">
        <v>38</v>
      </c>
      <c r="F738" s="73" t="s">
        <v>48</v>
      </c>
      <c r="G738" s="72" t="s">
        <v>85</v>
      </c>
      <c r="H738" s="47">
        <f>IF('Lançamento Diário'!W42="","",'Lançamento Diário'!W42)</f>
        <v>9</v>
      </c>
    </row>
    <row r="739" spans="2:8" x14ac:dyDescent="0.25">
      <c r="B739" s="71">
        <v>46256</v>
      </c>
      <c r="C739" s="72">
        <v>22</v>
      </c>
      <c r="D739" s="72" t="s">
        <v>96</v>
      </c>
      <c r="E739" s="73" t="s">
        <v>38</v>
      </c>
      <c r="F739" s="73" t="s">
        <v>48</v>
      </c>
      <c r="G739" s="72" t="s">
        <v>85</v>
      </c>
      <c r="H739" s="47">
        <f>IF('Lançamento Diário'!X42="","",'Lançamento Diário'!X42)</f>
        <v>1</v>
      </c>
    </row>
    <row r="740" spans="2:8" x14ac:dyDescent="0.25">
      <c r="B740" s="71">
        <v>46257</v>
      </c>
      <c r="C740" s="72">
        <v>23</v>
      </c>
      <c r="D740" s="72" t="s">
        <v>97</v>
      </c>
      <c r="E740" s="73" t="s">
        <v>38</v>
      </c>
      <c r="F740" s="73" t="s">
        <v>48</v>
      </c>
      <c r="G740" s="72" t="s">
        <v>85</v>
      </c>
      <c r="H740" s="47">
        <f>IF('Lançamento Diário'!Y42="","",'Lançamento Diário'!Y42)</f>
        <v>0</v>
      </c>
    </row>
    <row r="741" spans="2:8" x14ac:dyDescent="0.25">
      <c r="B741" s="71">
        <v>46258</v>
      </c>
      <c r="C741" s="72">
        <v>24</v>
      </c>
      <c r="D741" s="72" t="s">
        <v>98</v>
      </c>
      <c r="E741" s="73" t="s">
        <v>38</v>
      </c>
      <c r="F741" s="73" t="s">
        <v>48</v>
      </c>
      <c r="G741" s="72" t="s">
        <v>85</v>
      </c>
      <c r="H741" s="47">
        <f>IF('Lançamento Diário'!Z42="","",'Lançamento Diário'!Z42)</f>
        <v>10</v>
      </c>
    </row>
    <row r="742" spans="2:8" x14ac:dyDescent="0.25">
      <c r="B742" s="71">
        <v>46259</v>
      </c>
      <c r="C742" s="72">
        <v>25</v>
      </c>
      <c r="D742" s="72" t="s">
        <v>99</v>
      </c>
      <c r="E742" s="73" t="s">
        <v>38</v>
      </c>
      <c r="F742" s="73" t="s">
        <v>48</v>
      </c>
      <c r="G742" s="72" t="s">
        <v>85</v>
      </c>
      <c r="H742" s="47">
        <f>IF('Lançamento Diário'!AA42="","",'Lançamento Diário'!AA42)</f>
        <v>5</v>
      </c>
    </row>
    <row r="743" spans="2:8" x14ac:dyDescent="0.25">
      <c r="B743" s="71">
        <v>46260</v>
      </c>
      <c r="C743" s="72">
        <v>26</v>
      </c>
      <c r="D743" s="72" t="s">
        <v>100</v>
      </c>
      <c r="E743" s="73" t="s">
        <v>38</v>
      </c>
      <c r="F743" s="73" t="s">
        <v>48</v>
      </c>
      <c r="G743" s="72" t="s">
        <v>85</v>
      </c>
      <c r="H743" s="47">
        <f>IF('Lançamento Diário'!AB42="","",'Lançamento Diário'!AB42)</f>
        <v>6</v>
      </c>
    </row>
    <row r="744" spans="2:8" x14ac:dyDescent="0.25">
      <c r="B744" s="71">
        <v>46261</v>
      </c>
      <c r="C744" s="72">
        <v>27</v>
      </c>
      <c r="D744" s="72" t="s">
        <v>101</v>
      </c>
      <c r="E744" s="73" t="s">
        <v>38</v>
      </c>
      <c r="F744" s="73" t="s">
        <v>48</v>
      </c>
      <c r="G744" s="72" t="s">
        <v>85</v>
      </c>
      <c r="H744" s="47">
        <f>IF('Lançamento Diário'!AC42="","",'Lançamento Diário'!AC42)</f>
        <v>0</v>
      </c>
    </row>
    <row r="745" spans="2:8" x14ac:dyDescent="0.25">
      <c r="B745" s="71">
        <v>46262</v>
      </c>
      <c r="C745" s="72">
        <v>28</v>
      </c>
      <c r="D745" s="72" t="s">
        <v>102</v>
      </c>
      <c r="E745" s="73" t="s">
        <v>38</v>
      </c>
      <c r="F745" s="73" t="s">
        <v>48</v>
      </c>
      <c r="G745" s="72" t="s">
        <v>85</v>
      </c>
      <c r="H745" s="47">
        <f>IF('Lançamento Diário'!AD42="","",'Lançamento Diário'!AD42)</f>
        <v>3</v>
      </c>
    </row>
    <row r="746" spans="2:8" x14ac:dyDescent="0.25">
      <c r="B746" s="71">
        <v>46263</v>
      </c>
      <c r="C746" s="72">
        <v>29</v>
      </c>
      <c r="D746" s="72" t="s">
        <v>96</v>
      </c>
      <c r="E746" s="73" t="s">
        <v>38</v>
      </c>
      <c r="F746" s="73" t="s">
        <v>48</v>
      </c>
      <c r="G746" s="72" t="s">
        <v>85</v>
      </c>
      <c r="H746" s="47">
        <f>IF('Lançamento Diário'!AE42="","",'Lançamento Diário'!AE42)</f>
        <v>2</v>
      </c>
    </row>
    <row r="747" spans="2:8" x14ac:dyDescent="0.25">
      <c r="B747" s="71">
        <v>46264</v>
      </c>
      <c r="C747" s="72">
        <v>30</v>
      </c>
      <c r="D747" s="72" t="s">
        <v>97</v>
      </c>
      <c r="E747" s="73" t="s">
        <v>38</v>
      </c>
      <c r="F747" s="73" t="s">
        <v>48</v>
      </c>
      <c r="G747" s="72" t="s">
        <v>85</v>
      </c>
      <c r="H747" s="47">
        <f>IF('Lançamento Diário'!AF42="","",'Lançamento Diário'!AF42)</f>
        <v>0</v>
      </c>
    </row>
    <row r="748" spans="2:8" x14ac:dyDescent="0.25">
      <c r="B748" s="71">
        <v>46265</v>
      </c>
      <c r="C748" s="72">
        <v>31</v>
      </c>
      <c r="D748" s="72" t="s">
        <v>98</v>
      </c>
      <c r="E748" s="73" t="s">
        <v>38</v>
      </c>
      <c r="F748" s="73" t="s">
        <v>48</v>
      </c>
      <c r="G748" s="72" t="s">
        <v>85</v>
      </c>
      <c r="H748" s="47">
        <f>IF('Lançamento Diário'!AG42="","",'Lançamento Diário'!AG42)</f>
        <v>10</v>
      </c>
    </row>
    <row r="749" spans="2:8" x14ac:dyDescent="0.25">
      <c r="B749" s="71">
        <v>46235</v>
      </c>
      <c r="C749" s="72">
        <v>1</v>
      </c>
      <c r="D749" s="72" t="s">
        <v>96</v>
      </c>
      <c r="E749" s="73" t="s">
        <v>38</v>
      </c>
      <c r="F749" s="73" t="s">
        <v>49</v>
      </c>
      <c r="G749" s="72" t="s">
        <v>49</v>
      </c>
      <c r="H749" s="47">
        <f>IF('Lançamento Diário'!C43="","",'Lançamento Diário'!C43)</f>
        <v>1</v>
      </c>
    </row>
    <row r="750" spans="2:8" x14ac:dyDescent="0.25">
      <c r="B750" s="71">
        <v>46236</v>
      </c>
      <c r="C750" s="72">
        <v>2</v>
      </c>
      <c r="D750" s="72" t="s">
        <v>97</v>
      </c>
      <c r="E750" s="73" t="s">
        <v>38</v>
      </c>
      <c r="F750" s="73" t="s">
        <v>49</v>
      </c>
      <c r="G750" s="72" t="s">
        <v>49</v>
      </c>
      <c r="H750" s="47">
        <f>IF('Lançamento Diário'!D43="","",'Lançamento Diário'!D43)</f>
        <v>0</v>
      </c>
    </row>
    <row r="751" spans="2:8" x14ac:dyDescent="0.25">
      <c r="B751" s="71">
        <v>46237</v>
      </c>
      <c r="C751" s="72">
        <v>3</v>
      </c>
      <c r="D751" s="72" t="s">
        <v>98</v>
      </c>
      <c r="E751" s="73" t="s">
        <v>38</v>
      </c>
      <c r="F751" s="73" t="s">
        <v>49</v>
      </c>
      <c r="G751" s="72" t="s">
        <v>49</v>
      </c>
      <c r="H751" s="47">
        <f>IF('Lançamento Diário'!E43="","",'Lançamento Diário'!E43)</f>
        <v>0</v>
      </c>
    </row>
    <row r="752" spans="2:8" x14ac:dyDescent="0.25">
      <c r="B752" s="71">
        <v>46238</v>
      </c>
      <c r="C752" s="72">
        <v>4</v>
      </c>
      <c r="D752" s="72" t="s">
        <v>99</v>
      </c>
      <c r="E752" s="73" t="s">
        <v>38</v>
      </c>
      <c r="F752" s="73" t="s">
        <v>49</v>
      </c>
      <c r="G752" s="72" t="s">
        <v>49</v>
      </c>
      <c r="H752" s="47">
        <f>IF('Lançamento Diário'!F43="","",'Lançamento Diário'!F43)</f>
        <v>0</v>
      </c>
    </row>
    <row r="753" spans="2:8" x14ac:dyDescent="0.25">
      <c r="B753" s="71">
        <v>46239</v>
      </c>
      <c r="C753" s="72">
        <v>5</v>
      </c>
      <c r="D753" s="72" t="s">
        <v>100</v>
      </c>
      <c r="E753" s="73" t="s">
        <v>38</v>
      </c>
      <c r="F753" s="73" t="s">
        <v>49</v>
      </c>
      <c r="G753" s="72" t="s">
        <v>49</v>
      </c>
      <c r="H753" s="47">
        <f>IF('Lançamento Diário'!G43="","",'Lançamento Diário'!G43)</f>
        <v>0</v>
      </c>
    </row>
    <row r="754" spans="2:8" x14ac:dyDescent="0.25">
      <c r="B754" s="71">
        <v>46240</v>
      </c>
      <c r="C754" s="72">
        <v>6</v>
      </c>
      <c r="D754" s="72" t="s">
        <v>101</v>
      </c>
      <c r="E754" s="73" t="s">
        <v>38</v>
      </c>
      <c r="F754" s="73" t="s">
        <v>49</v>
      </c>
      <c r="G754" s="72" t="s">
        <v>49</v>
      </c>
      <c r="H754" s="47">
        <f>IF('Lançamento Diário'!H43="","",'Lançamento Diário'!H43)</f>
        <v>0</v>
      </c>
    </row>
    <row r="755" spans="2:8" x14ac:dyDescent="0.25">
      <c r="B755" s="71">
        <v>46241</v>
      </c>
      <c r="C755" s="72">
        <v>7</v>
      </c>
      <c r="D755" s="72" t="s">
        <v>102</v>
      </c>
      <c r="E755" s="73" t="s">
        <v>38</v>
      </c>
      <c r="F755" s="73" t="s">
        <v>49</v>
      </c>
      <c r="G755" s="72" t="s">
        <v>49</v>
      </c>
      <c r="H755" s="47">
        <f>IF('Lançamento Diário'!I43="","",'Lançamento Diário'!I43)</f>
        <v>1</v>
      </c>
    </row>
    <row r="756" spans="2:8" x14ac:dyDescent="0.25">
      <c r="B756" s="71">
        <v>46242</v>
      </c>
      <c r="C756" s="72">
        <v>8</v>
      </c>
      <c r="D756" s="72" t="s">
        <v>96</v>
      </c>
      <c r="E756" s="73" t="s">
        <v>38</v>
      </c>
      <c r="F756" s="73" t="s">
        <v>49</v>
      </c>
      <c r="G756" s="72" t="s">
        <v>49</v>
      </c>
      <c r="H756" s="47">
        <f>IF('Lançamento Diário'!J43="","",'Lançamento Diário'!J43)</f>
        <v>0</v>
      </c>
    </row>
    <row r="757" spans="2:8" x14ac:dyDescent="0.25">
      <c r="B757" s="71">
        <v>46243</v>
      </c>
      <c r="C757" s="72">
        <v>9</v>
      </c>
      <c r="D757" s="72" t="s">
        <v>97</v>
      </c>
      <c r="E757" s="73" t="s">
        <v>38</v>
      </c>
      <c r="F757" s="73" t="s">
        <v>49</v>
      </c>
      <c r="G757" s="72" t="s">
        <v>49</v>
      </c>
      <c r="H757" s="47">
        <f>IF('Lançamento Diário'!K43="","",'Lançamento Diário'!K43)</f>
        <v>0</v>
      </c>
    </row>
    <row r="758" spans="2:8" x14ac:dyDescent="0.25">
      <c r="B758" s="71">
        <v>46244</v>
      </c>
      <c r="C758" s="72">
        <v>10</v>
      </c>
      <c r="D758" s="72" t="s">
        <v>98</v>
      </c>
      <c r="E758" s="73" t="s">
        <v>38</v>
      </c>
      <c r="F758" s="73" t="s">
        <v>49</v>
      </c>
      <c r="G758" s="72" t="s">
        <v>49</v>
      </c>
      <c r="H758" s="47">
        <f>IF('Lançamento Diário'!L43="","",'Lançamento Diário'!L43)</f>
        <v>0</v>
      </c>
    </row>
    <row r="759" spans="2:8" x14ac:dyDescent="0.25">
      <c r="B759" s="71">
        <v>46245</v>
      </c>
      <c r="C759" s="72">
        <v>11</v>
      </c>
      <c r="D759" s="72" t="s">
        <v>99</v>
      </c>
      <c r="E759" s="73" t="s">
        <v>38</v>
      </c>
      <c r="F759" s="73" t="s">
        <v>49</v>
      </c>
      <c r="G759" s="72" t="s">
        <v>49</v>
      </c>
      <c r="H759" s="47">
        <f>IF('Lançamento Diário'!M43="","",'Lançamento Diário'!M43)</f>
        <v>1</v>
      </c>
    </row>
    <row r="760" spans="2:8" x14ac:dyDescent="0.25">
      <c r="B760" s="71">
        <v>46246</v>
      </c>
      <c r="C760" s="72">
        <v>12</v>
      </c>
      <c r="D760" s="72" t="s">
        <v>100</v>
      </c>
      <c r="E760" s="73" t="s">
        <v>38</v>
      </c>
      <c r="F760" s="73" t="s">
        <v>49</v>
      </c>
      <c r="G760" s="72" t="s">
        <v>49</v>
      </c>
      <c r="H760" s="47">
        <f>IF('Lançamento Diário'!N43="","",'Lançamento Diário'!N43)</f>
        <v>2</v>
      </c>
    </row>
    <row r="761" spans="2:8" x14ac:dyDescent="0.25">
      <c r="B761" s="71">
        <v>46247</v>
      </c>
      <c r="C761" s="72">
        <v>13</v>
      </c>
      <c r="D761" s="72" t="s">
        <v>101</v>
      </c>
      <c r="E761" s="73" t="s">
        <v>38</v>
      </c>
      <c r="F761" s="73" t="s">
        <v>49</v>
      </c>
      <c r="G761" s="72" t="s">
        <v>49</v>
      </c>
      <c r="H761" s="47">
        <f>IF('Lançamento Diário'!O43="","",'Lançamento Diário'!O43)</f>
        <v>0</v>
      </c>
    </row>
    <row r="762" spans="2:8" x14ac:dyDescent="0.25">
      <c r="B762" s="71">
        <v>46248</v>
      </c>
      <c r="C762" s="72">
        <v>14</v>
      </c>
      <c r="D762" s="72" t="s">
        <v>102</v>
      </c>
      <c r="E762" s="73" t="s">
        <v>38</v>
      </c>
      <c r="F762" s="73" t="s">
        <v>49</v>
      </c>
      <c r="G762" s="72" t="s">
        <v>49</v>
      </c>
      <c r="H762" s="47">
        <f>IF('Lançamento Diário'!P43="","",'Lançamento Diário'!P43)</f>
        <v>1</v>
      </c>
    </row>
    <row r="763" spans="2:8" x14ac:dyDescent="0.25">
      <c r="B763" s="71">
        <v>46249</v>
      </c>
      <c r="C763" s="72">
        <v>15</v>
      </c>
      <c r="D763" s="72" t="s">
        <v>96</v>
      </c>
      <c r="E763" s="73" t="s">
        <v>38</v>
      </c>
      <c r="F763" s="73" t="s">
        <v>49</v>
      </c>
      <c r="G763" s="72" t="s">
        <v>49</v>
      </c>
      <c r="H763" s="47">
        <f>IF('Lançamento Diário'!Q43="","",'Lançamento Diário'!Q43)</f>
        <v>0</v>
      </c>
    </row>
    <row r="764" spans="2:8" x14ac:dyDescent="0.25">
      <c r="B764" s="71">
        <v>46250</v>
      </c>
      <c r="C764" s="72">
        <v>16</v>
      </c>
      <c r="D764" s="72" t="s">
        <v>97</v>
      </c>
      <c r="E764" s="73" t="s">
        <v>38</v>
      </c>
      <c r="F764" s="73" t="s">
        <v>49</v>
      </c>
      <c r="G764" s="72" t="s">
        <v>49</v>
      </c>
      <c r="H764" s="47">
        <f>IF('Lançamento Diário'!R43="","",'Lançamento Diário'!R43)</f>
        <v>0</v>
      </c>
    </row>
    <row r="765" spans="2:8" x14ac:dyDescent="0.25">
      <c r="B765" s="71">
        <v>46251</v>
      </c>
      <c r="C765" s="72">
        <v>17</v>
      </c>
      <c r="D765" s="72" t="s">
        <v>98</v>
      </c>
      <c r="E765" s="73" t="s">
        <v>38</v>
      </c>
      <c r="F765" s="73" t="s">
        <v>49</v>
      </c>
      <c r="G765" s="72" t="s">
        <v>49</v>
      </c>
      <c r="H765" s="47">
        <f>IF('Lançamento Diário'!S43="","",'Lançamento Diário'!S43)</f>
        <v>0</v>
      </c>
    </row>
    <row r="766" spans="2:8" x14ac:dyDescent="0.25">
      <c r="B766" s="71">
        <v>46252</v>
      </c>
      <c r="C766" s="72">
        <v>18</v>
      </c>
      <c r="D766" s="72" t="s">
        <v>99</v>
      </c>
      <c r="E766" s="73" t="s">
        <v>38</v>
      </c>
      <c r="F766" s="73" t="s">
        <v>49</v>
      </c>
      <c r="G766" s="72" t="s">
        <v>49</v>
      </c>
      <c r="H766" s="47">
        <f>IF('Lançamento Diário'!T43="","",'Lançamento Diário'!T43)</f>
        <v>0</v>
      </c>
    </row>
    <row r="767" spans="2:8" x14ac:dyDescent="0.25">
      <c r="B767" s="71">
        <v>46253</v>
      </c>
      <c r="C767" s="72">
        <v>19</v>
      </c>
      <c r="D767" s="72" t="s">
        <v>100</v>
      </c>
      <c r="E767" s="73" t="s">
        <v>38</v>
      </c>
      <c r="F767" s="73" t="s">
        <v>49</v>
      </c>
      <c r="G767" s="72" t="s">
        <v>49</v>
      </c>
      <c r="H767" s="47">
        <f>IF('Lançamento Diário'!U43="","",'Lançamento Diário'!U43)</f>
        <v>1</v>
      </c>
    </row>
    <row r="768" spans="2:8" x14ac:dyDescent="0.25">
      <c r="B768" s="71">
        <v>46254</v>
      </c>
      <c r="C768" s="72">
        <v>20</v>
      </c>
      <c r="D768" s="72" t="s">
        <v>101</v>
      </c>
      <c r="E768" s="73" t="s">
        <v>38</v>
      </c>
      <c r="F768" s="73" t="s">
        <v>49</v>
      </c>
      <c r="G768" s="72" t="s">
        <v>49</v>
      </c>
      <c r="H768" s="47">
        <f>IF('Lançamento Diário'!V43="","",'Lançamento Diário'!V43)</f>
        <v>3</v>
      </c>
    </row>
    <row r="769" spans="2:8" x14ac:dyDescent="0.25">
      <c r="B769" s="71">
        <v>46255</v>
      </c>
      <c r="C769" s="72">
        <v>21</v>
      </c>
      <c r="D769" s="72" t="s">
        <v>102</v>
      </c>
      <c r="E769" s="73" t="s">
        <v>38</v>
      </c>
      <c r="F769" s="73" t="s">
        <v>49</v>
      </c>
      <c r="G769" s="72" t="s">
        <v>49</v>
      </c>
      <c r="H769" s="47">
        <f>IF('Lançamento Diário'!W43="","",'Lançamento Diário'!W43)</f>
        <v>2</v>
      </c>
    </row>
    <row r="770" spans="2:8" x14ac:dyDescent="0.25">
      <c r="B770" s="71">
        <v>46256</v>
      </c>
      <c r="C770" s="72">
        <v>22</v>
      </c>
      <c r="D770" s="72" t="s">
        <v>96</v>
      </c>
      <c r="E770" s="73" t="s">
        <v>38</v>
      </c>
      <c r="F770" s="73" t="s">
        <v>49</v>
      </c>
      <c r="G770" s="72" t="s">
        <v>49</v>
      </c>
      <c r="H770" s="47">
        <f>IF('Lançamento Diário'!X43="","",'Lançamento Diário'!X43)</f>
        <v>0</v>
      </c>
    </row>
    <row r="771" spans="2:8" x14ac:dyDescent="0.25">
      <c r="B771" s="71">
        <v>46257</v>
      </c>
      <c r="C771" s="72">
        <v>23</v>
      </c>
      <c r="D771" s="72" t="s">
        <v>97</v>
      </c>
      <c r="E771" s="73" t="s">
        <v>38</v>
      </c>
      <c r="F771" s="73" t="s">
        <v>49</v>
      </c>
      <c r="G771" s="72" t="s">
        <v>49</v>
      </c>
      <c r="H771" s="47">
        <f>IF('Lançamento Diário'!Y43="","",'Lançamento Diário'!Y43)</f>
        <v>0</v>
      </c>
    </row>
    <row r="772" spans="2:8" x14ac:dyDescent="0.25">
      <c r="B772" s="71">
        <v>46258</v>
      </c>
      <c r="C772" s="72">
        <v>24</v>
      </c>
      <c r="D772" s="72" t="s">
        <v>98</v>
      </c>
      <c r="E772" s="73" t="s">
        <v>38</v>
      </c>
      <c r="F772" s="73" t="s">
        <v>49</v>
      </c>
      <c r="G772" s="72" t="s">
        <v>49</v>
      </c>
      <c r="H772" s="47">
        <f>IF('Lançamento Diário'!Z43="","",'Lançamento Diário'!Z43)</f>
        <v>1</v>
      </c>
    </row>
    <row r="773" spans="2:8" x14ac:dyDescent="0.25">
      <c r="B773" s="71">
        <v>46259</v>
      </c>
      <c r="C773" s="72">
        <v>25</v>
      </c>
      <c r="D773" s="72" t="s">
        <v>99</v>
      </c>
      <c r="E773" s="73" t="s">
        <v>38</v>
      </c>
      <c r="F773" s="73" t="s">
        <v>49</v>
      </c>
      <c r="G773" s="72" t="s">
        <v>49</v>
      </c>
      <c r="H773" s="47">
        <f>IF('Lançamento Diário'!AA43="","",'Lançamento Diário'!AA43)</f>
        <v>3</v>
      </c>
    </row>
    <row r="774" spans="2:8" x14ac:dyDescent="0.25">
      <c r="B774" s="71">
        <v>46260</v>
      </c>
      <c r="C774" s="72">
        <v>26</v>
      </c>
      <c r="D774" s="72" t="s">
        <v>100</v>
      </c>
      <c r="E774" s="73" t="s">
        <v>38</v>
      </c>
      <c r="F774" s="73" t="s">
        <v>49</v>
      </c>
      <c r="G774" s="72" t="s">
        <v>49</v>
      </c>
      <c r="H774" s="47">
        <f>IF('Lançamento Diário'!AB43="","",'Lançamento Diário'!AB43)</f>
        <v>0</v>
      </c>
    </row>
    <row r="775" spans="2:8" x14ac:dyDescent="0.25">
      <c r="B775" s="71">
        <v>46261</v>
      </c>
      <c r="C775" s="72">
        <v>27</v>
      </c>
      <c r="D775" s="72" t="s">
        <v>101</v>
      </c>
      <c r="E775" s="73" t="s">
        <v>38</v>
      </c>
      <c r="F775" s="73" t="s">
        <v>49</v>
      </c>
      <c r="G775" s="72" t="s">
        <v>49</v>
      </c>
      <c r="H775" s="47">
        <f>IF('Lançamento Diário'!AC43="","",'Lançamento Diário'!AC43)</f>
        <v>3</v>
      </c>
    </row>
    <row r="776" spans="2:8" x14ac:dyDescent="0.25">
      <c r="B776" s="71">
        <v>46262</v>
      </c>
      <c r="C776" s="72">
        <v>28</v>
      </c>
      <c r="D776" s="72" t="s">
        <v>102</v>
      </c>
      <c r="E776" s="73" t="s">
        <v>38</v>
      </c>
      <c r="F776" s="73" t="s">
        <v>49</v>
      </c>
      <c r="G776" s="72" t="s">
        <v>49</v>
      </c>
      <c r="H776" s="47">
        <f>IF('Lançamento Diário'!AD43="","",'Lançamento Diário'!AD43)</f>
        <v>4</v>
      </c>
    </row>
    <row r="777" spans="2:8" x14ac:dyDescent="0.25">
      <c r="B777" s="71">
        <v>46263</v>
      </c>
      <c r="C777" s="72">
        <v>29</v>
      </c>
      <c r="D777" s="72" t="s">
        <v>96</v>
      </c>
      <c r="E777" s="73" t="s">
        <v>38</v>
      </c>
      <c r="F777" s="73" t="s">
        <v>49</v>
      </c>
      <c r="G777" s="72" t="s">
        <v>49</v>
      </c>
      <c r="H777" s="47">
        <f>IF('Lançamento Diário'!AE43="","",'Lançamento Diário'!AE43)</f>
        <v>2</v>
      </c>
    </row>
    <row r="778" spans="2:8" x14ac:dyDescent="0.25">
      <c r="B778" s="71">
        <v>46264</v>
      </c>
      <c r="C778" s="72">
        <v>30</v>
      </c>
      <c r="D778" s="72" t="s">
        <v>97</v>
      </c>
      <c r="E778" s="73" t="s">
        <v>38</v>
      </c>
      <c r="F778" s="73" t="s">
        <v>49</v>
      </c>
      <c r="G778" s="72" t="s">
        <v>49</v>
      </c>
      <c r="H778" s="47">
        <f>IF('Lançamento Diário'!AF43="","",'Lançamento Diário'!AF43)</f>
        <v>0</v>
      </c>
    </row>
    <row r="779" spans="2:8" x14ac:dyDescent="0.25">
      <c r="B779" s="71">
        <v>46265</v>
      </c>
      <c r="C779" s="72">
        <v>31</v>
      </c>
      <c r="D779" s="72" t="s">
        <v>98</v>
      </c>
      <c r="E779" s="73" t="s">
        <v>38</v>
      </c>
      <c r="F779" s="73" t="s">
        <v>49</v>
      </c>
      <c r="G779" s="72" t="s">
        <v>49</v>
      </c>
      <c r="H779" s="47">
        <f>IF('Lançamento Diário'!AG43="","",'Lançamento Diário'!AG43)</f>
        <v>2</v>
      </c>
    </row>
    <row r="780" spans="2:8" x14ac:dyDescent="0.25">
      <c r="B780" s="71">
        <v>46235</v>
      </c>
      <c r="C780" s="72">
        <v>1</v>
      </c>
      <c r="D780" s="72" t="s">
        <v>96</v>
      </c>
      <c r="E780" s="73" t="s">
        <v>39</v>
      </c>
      <c r="F780" s="73" t="s">
        <v>45</v>
      </c>
      <c r="G780" s="72" t="s">
        <v>84</v>
      </c>
      <c r="H780" s="47">
        <f>IF('Lançamento Diário'!C47="","",'Lançamento Diário'!C47)</f>
        <v>3</v>
      </c>
    </row>
    <row r="781" spans="2:8" x14ac:dyDescent="0.25">
      <c r="B781" s="71">
        <v>46236</v>
      </c>
      <c r="C781" s="72">
        <v>2</v>
      </c>
      <c r="D781" s="72" t="s">
        <v>97</v>
      </c>
      <c r="E781" s="73" t="s">
        <v>39</v>
      </c>
      <c r="F781" s="73" t="s">
        <v>45</v>
      </c>
      <c r="G781" s="72" t="s">
        <v>84</v>
      </c>
      <c r="H781" s="47">
        <f>IF('Lançamento Diário'!D47="","",'Lançamento Diário'!D47)</f>
        <v>0</v>
      </c>
    </row>
    <row r="782" spans="2:8" x14ac:dyDescent="0.25">
      <c r="B782" s="71">
        <v>46237</v>
      </c>
      <c r="C782" s="72">
        <v>3</v>
      </c>
      <c r="D782" s="72" t="s">
        <v>98</v>
      </c>
      <c r="E782" s="73" t="s">
        <v>39</v>
      </c>
      <c r="F782" s="73" t="s">
        <v>45</v>
      </c>
      <c r="G782" s="72" t="s">
        <v>84</v>
      </c>
      <c r="H782" s="47">
        <f>IF('Lançamento Diário'!E47="","",'Lançamento Diário'!E47)</f>
        <v>0</v>
      </c>
    </row>
    <row r="783" spans="2:8" x14ac:dyDescent="0.25">
      <c r="B783" s="71">
        <v>46238</v>
      </c>
      <c r="C783" s="72">
        <v>4</v>
      </c>
      <c r="D783" s="72" t="s">
        <v>99</v>
      </c>
      <c r="E783" s="73" t="s">
        <v>39</v>
      </c>
      <c r="F783" s="73" t="s">
        <v>45</v>
      </c>
      <c r="G783" s="72" t="s">
        <v>84</v>
      </c>
      <c r="H783" s="47">
        <f>IF('Lançamento Diário'!F47="","",'Lançamento Diário'!F47)</f>
        <v>2</v>
      </c>
    </row>
    <row r="784" spans="2:8" x14ac:dyDescent="0.25">
      <c r="B784" s="71">
        <v>46239</v>
      </c>
      <c r="C784" s="72">
        <v>5</v>
      </c>
      <c r="D784" s="72" t="s">
        <v>100</v>
      </c>
      <c r="E784" s="73" t="s">
        <v>39</v>
      </c>
      <c r="F784" s="73" t="s">
        <v>45</v>
      </c>
      <c r="G784" s="72" t="s">
        <v>84</v>
      </c>
      <c r="H784" s="47">
        <f>IF('Lançamento Diário'!G47="","",'Lançamento Diário'!G47)</f>
        <v>0</v>
      </c>
    </row>
    <row r="785" spans="2:8" x14ac:dyDescent="0.25">
      <c r="B785" s="71">
        <v>46240</v>
      </c>
      <c r="C785" s="72">
        <v>6</v>
      </c>
      <c r="D785" s="72" t="s">
        <v>101</v>
      </c>
      <c r="E785" s="73" t="s">
        <v>39</v>
      </c>
      <c r="F785" s="73" t="s">
        <v>45</v>
      </c>
      <c r="G785" s="72" t="s">
        <v>84</v>
      </c>
      <c r="H785" s="47">
        <f>IF('Lançamento Diário'!H47="","",'Lançamento Diário'!H47)</f>
        <v>3</v>
      </c>
    </row>
    <row r="786" spans="2:8" x14ac:dyDescent="0.25">
      <c r="B786" s="71">
        <v>46241</v>
      </c>
      <c r="C786" s="72">
        <v>7</v>
      </c>
      <c r="D786" s="72" t="s">
        <v>102</v>
      </c>
      <c r="E786" s="73" t="s">
        <v>39</v>
      </c>
      <c r="F786" s="73" t="s">
        <v>45</v>
      </c>
      <c r="G786" s="72" t="s">
        <v>84</v>
      </c>
      <c r="H786" s="47">
        <f>IF('Lançamento Diário'!I47="","",'Lançamento Diário'!I47)</f>
        <v>0</v>
      </c>
    </row>
    <row r="787" spans="2:8" x14ac:dyDescent="0.25">
      <c r="B787" s="71">
        <v>46242</v>
      </c>
      <c r="C787" s="72">
        <v>8</v>
      </c>
      <c r="D787" s="72" t="s">
        <v>96</v>
      </c>
      <c r="E787" s="73" t="s">
        <v>39</v>
      </c>
      <c r="F787" s="73" t="s">
        <v>45</v>
      </c>
      <c r="G787" s="72" t="s">
        <v>84</v>
      </c>
      <c r="H787" s="47">
        <f>IF('Lançamento Diário'!J47="","",'Lançamento Diário'!J47)</f>
        <v>0</v>
      </c>
    </row>
    <row r="788" spans="2:8" x14ac:dyDescent="0.25">
      <c r="B788" s="71">
        <v>46243</v>
      </c>
      <c r="C788" s="72">
        <v>9</v>
      </c>
      <c r="D788" s="72" t="s">
        <v>97</v>
      </c>
      <c r="E788" s="73" t="s">
        <v>39</v>
      </c>
      <c r="F788" s="73" t="s">
        <v>45</v>
      </c>
      <c r="G788" s="72" t="s">
        <v>84</v>
      </c>
      <c r="H788" s="47">
        <f>IF('Lançamento Diário'!K47="","",'Lançamento Diário'!K47)</f>
        <v>0</v>
      </c>
    </row>
    <row r="789" spans="2:8" x14ac:dyDescent="0.25">
      <c r="B789" s="71">
        <v>46244</v>
      </c>
      <c r="C789" s="72">
        <v>10</v>
      </c>
      <c r="D789" s="72" t="s">
        <v>98</v>
      </c>
      <c r="E789" s="73" t="s">
        <v>39</v>
      </c>
      <c r="F789" s="73" t="s">
        <v>45</v>
      </c>
      <c r="G789" s="72" t="s">
        <v>84</v>
      </c>
      <c r="H789" s="47">
        <f>IF('Lançamento Diário'!L47="","",'Lançamento Diário'!L47)</f>
        <v>3</v>
      </c>
    </row>
    <row r="790" spans="2:8" x14ac:dyDescent="0.25">
      <c r="B790" s="71">
        <v>46245</v>
      </c>
      <c r="C790" s="72">
        <v>11</v>
      </c>
      <c r="D790" s="72" t="s">
        <v>99</v>
      </c>
      <c r="E790" s="73" t="s">
        <v>39</v>
      </c>
      <c r="F790" s="73" t="s">
        <v>45</v>
      </c>
      <c r="G790" s="72" t="s">
        <v>84</v>
      </c>
      <c r="H790" s="47">
        <f>IF('Lançamento Diário'!M47="","",'Lançamento Diário'!M47)</f>
        <v>3</v>
      </c>
    </row>
    <row r="791" spans="2:8" x14ac:dyDescent="0.25">
      <c r="B791" s="71">
        <v>46246</v>
      </c>
      <c r="C791" s="72">
        <v>12</v>
      </c>
      <c r="D791" s="72" t="s">
        <v>100</v>
      </c>
      <c r="E791" s="73" t="s">
        <v>39</v>
      </c>
      <c r="F791" s="73" t="s">
        <v>45</v>
      </c>
      <c r="G791" s="72" t="s">
        <v>84</v>
      </c>
      <c r="H791" s="47">
        <f>IF('Lançamento Diário'!N47="","",'Lançamento Diário'!N47)</f>
        <v>1</v>
      </c>
    </row>
    <row r="792" spans="2:8" x14ac:dyDescent="0.25">
      <c r="B792" s="71">
        <v>46247</v>
      </c>
      <c r="C792" s="72">
        <v>13</v>
      </c>
      <c r="D792" s="72" t="s">
        <v>101</v>
      </c>
      <c r="E792" s="73" t="s">
        <v>39</v>
      </c>
      <c r="F792" s="73" t="s">
        <v>45</v>
      </c>
      <c r="G792" s="72" t="s">
        <v>84</v>
      </c>
      <c r="H792" s="47">
        <f>IF('Lançamento Diário'!O47="","",'Lançamento Diário'!O47)</f>
        <v>3</v>
      </c>
    </row>
    <row r="793" spans="2:8" x14ac:dyDescent="0.25">
      <c r="B793" s="71">
        <v>46248</v>
      </c>
      <c r="C793" s="72">
        <v>14</v>
      </c>
      <c r="D793" s="72" t="s">
        <v>102</v>
      </c>
      <c r="E793" s="73" t="s">
        <v>39</v>
      </c>
      <c r="F793" s="73" t="s">
        <v>45</v>
      </c>
      <c r="G793" s="72" t="s">
        <v>84</v>
      </c>
      <c r="H793" s="47">
        <f>IF('Lançamento Diário'!P47="","",'Lançamento Diário'!P47)</f>
        <v>0</v>
      </c>
    </row>
    <row r="794" spans="2:8" x14ac:dyDescent="0.25">
      <c r="B794" s="71">
        <v>46249</v>
      </c>
      <c r="C794" s="72">
        <v>15</v>
      </c>
      <c r="D794" s="72" t="s">
        <v>96</v>
      </c>
      <c r="E794" s="73" t="s">
        <v>39</v>
      </c>
      <c r="F794" s="73" t="s">
        <v>45</v>
      </c>
      <c r="G794" s="72" t="s">
        <v>84</v>
      </c>
      <c r="H794" s="47">
        <f>IF('Lançamento Diário'!Q47="","",'Lançamento Diário'!Q47)</f>
        <v>3</v>
      </c>
    </row>
    <row r="795" spans="2:8" x14ac:dyDescent="0.25">
      <c r="B795" s="71">
        <v>46250</v>
      </c>
      <c r="C795" s="72">
        <v>16</v>
      </c>
      <c r="D795" s="72" t="s">
        <v>97</v>
      </c>
      <c r="E795" s="73" t="s">
        <v>39</v>
      </c>
      <c r="F795" s="73" t="s">
        <v>45</v>
      </c>
      <c r="G795" s="72" t="s">
        <v>84</v>
      </c>
      <c r="H795" s="47">
        <f>IF('Lançamento Diário'!R47="","",'Lançamento Diário'!R47)</f>
        <v>0</v>
      </c>
    </row>
    <row r="796" spans="2:8" x14ac:dyDescent="0.25">
      <c r="B796" s="71">
        <v>46251</v>
      </c>
      <c r="C796" s="72">
        <v>17</v>
      </c>
      <c r="D796" s="72" t="s">
        <v>98</v>
      </c>
      <c r="E796" s="73" t="s">
        <v>39</v>
      </c>
      <c r="F796" s="73" t="s">
        <v>45</v>
      </c>
      <c r="G796" s="72" t="s">
        <v>84</v>
      </c>
      <c r="H796" s="47">
        <f>IF('Lançamento Diário'!S47="","",'Lançamento Diário'!S47)</f>
        <v>0</v>
      </c>
    </row>
    <row r="797" spans="2:8" x14ac:dyDescent="0.25">
      <c r="B797" s="71">
        <v>46252</v>
      </c>
      <c r="C797" s="72">
        <v>18</v>
      </c>
      <c r="D797" s="72" t="s">
        <v>99</v>
      </c>
      <c r="E797" s="73" t="s">
        <v>39</v>
      </c>
      <c r="F797" s="73" t="s">
        <v>45</v>
      </c>
      <c r="G797" s="72" t="s">
        <v>84</v>
      </c>
      <c r="H797" s="47">
        <f>IF('Lançamento Diário'!T47="","",'Lançamento Diário'!T47)</f>
        <v>2</v>
      </c>
    </row>
    <row r="798" spans="2:8" x14ac:dyDescent="0.25">
      <c r="B798" s="71">
        <v>46253</v>
      </c>
      <c r="C798" s="72">
        <v>19</v>
      </c>
      <c r="D798" s="72" t="s">
        <v>100</v>
      </c>
      <c r="E798" s="73" t="s">
        <v>39</v>
      </c>
      <c r="F798" s="73" t="s">
        <v>45</v>
      </c>
      <c r="G798" s="72" t="s">
        <v>84</v>
      </c>
      <c r="H798" s="47">
        <f>IF('Lançamento Diário'!U47="","",'Lançamento Diário'!U47)</f>
        <v>1</v>
      </c>
    </row>
    <row r="799" spans="2:8" x14ac:dyDescent="0.25">
      <c r="B799" s="71">
        <v>46254</v>
      </c>
      <c r="C799" s="72">
        <v>20</v>
      </c>
      <c r="D799" s="72" t="s">
        <v>101</v>
      </c>
      <c r="E799" s="73" t="s">
        <v>39</v>
      </c>
      <c r="F799" s="73" t="s">
        <v>45</v>
      </c>
      <c r="G799" s="72" t="s">
        <v>84</v>
      </c>
      <c r="H799" s="47">
        <f>IF('Lançamento Diário'!V47="","",'Lançamento Diário'!V47)</f>
        <v>2</v>
      </c>
    </row>
    <row r="800" spans="2:8" x14ac:dyDescent="0.25">
      <c r="B800" s="71">
        <v>46255</v>
      </c>
      <c r="C800" s="72">
        <v>21</v>
      </c>
      <c r="D800" s="72" t="s">
        <v>102</v>
      </c>
      <c r="E800" s="73" t="s">
        <v>39</v>
      </c>
      <c r="F800" s="73" t="s">
        <v>45</v>
      </c>
      <c r="G800" s="72" t="s">
        <v>84</v>
      </c>
      <c r="H800" s="47">
        <f>IF('Lançamento Diário'!W47="","",'Lançamento Diário'!W47)</f>
        <v>0</v>
      </c>
    </row>
    <row r="801" spans="2:8" x14ac:dyDescent="0.25">
      <c r="B801" s="71">
        <v>46256</v>
      </c>
      <c r="C801" s="72">
        <v>22</v>
      </c>
      <c r="D801" s="72" t="s">
        <v>96</v>
      </c>
      <c r="E801" s="73" t="s">
        <v>39</v>
      </c>
      <c r="F801" s="73" t="s">
        <v>45</v>
      </c>
      <c r="G801" s="72" t="s">
        <v>84</v>
      </c>
      <c r="H801" s="47">
        <f>IF('Lançamento Diário'!X47="","",'Lançamento Diário'!X47)</f>
        <v>3</v>
      </c>
    </row>
    <row r="802" spans="2:8" x14ac:dyDescent="0.25">
      <c r="B802" s="71">
        <v>46257</v>
      </c>
      <c r="C802" s="72">
        <v>23</v>
      </c>
      <c r="D802" s="72" t="s">
        <v>97</v>
      </c>
      <c r="E802" s="73" t="s">
        <v>39</v>
      </c>
      <c r="F802" s="73" t="s">
        <v>45</v>
      </c>
      <c r="G802" s="72" t="s">
        <v>84</v>
      </c>
      <c r="H802" s="47">
        <f>IF('Lançamento Diário'!Y47="","",'Lançamento Diário'!Y47)</f>
        <v>0</v>
      </c>
    </row>
    <row r="803" spans="2:8" x14ac:dyDescent="0.25">
      <c r="B803" s="71">
        <v>46258</v>
      </c>
      <c r="C803" s="72">
        <v>24</v>
      </c>
      <c r="D803" s="72" t="s">
        <v>98</v>
      </c>
      <c r="E803" s="73" t="s">
        <v>39</v>
      </c>
      <c r="F803" s="73" t="s">
        <v>45</v>
      </c>
      <c r="G803" s="72" t="s">
        <v>84</v>
      </c>
      <c r="H803" s="47">
        <f>IF('Lançamento Diário'!Z47="","",'Lançamento Diário'!Z47)</f>
        <v>0</v>
      </c>
    </row>
    <row r="804" spans="2:8" x14ac:dyDescent="0.25">
      <c r="B804" s="71">
        <v>46259</v>
      </c>
      <c r="C804" s="72">
        <v>25</v>
      </c>
      <c r="D804" s="72" t="s">
        <v>99</v>
      </c>
      <c r="E804" s="73" t="s">
        <v>39</v>
      </c>
      <c r="F804" s="73" t="s">
        <v>45</v>
      </c>
      <c r="G804" s="72" t="s">
        <v>84</v>
      </c>
      <c r="H804" s="47">
        <f>IF('Lançamento Diário'!AA47="","",'Lançamento Diário'!AA47)</f>
        <v>4</v>
      </c>
    </row>
    <row r="805" spans="2:8" x14ac:dyDescent="0.25">
      <c r="B805" s="71">
        <v>46260</v>
      </c>
      <c r="C805" s="72">
        <v>26</v>
      </c>
      <c r="D805" s="72" t="s">
        <v>100</v>
      </c>
      <c r="E805" s="73" t="s">
        <v>39</v>
      </c>
      <c r="F805" s="73" t="s">
        <v>45</v>
      </c>
      <c r="G805" s="72" t="s">
        <v>84</v>
      </c>
      <c r="H805" s="47">
        <f>IF('Lançamento Diário'!AB47="","",'Lançamento Diário'!AB47)</f>
        <v>0</v>
      </c>
    </row>
    <row r="806" spans="2:8" x14ac:dyDescent="0.25">
      <c r="B806" s="71">
        <v>46261</v>
      </c>
      <c r="C806" s="72">
        <v>27</v>
      </c>
      <c r="D806" s="72" t="s">
        <v>101</v>
      </c>
      <c r="E806" s="73" t="s">
        <v>39</v>
      </c>
      <c r="F806" s="73" t="s">
        <v>45</v>
      </c>
      <c r="G806" s="72" t="s">
        <v>84</v>
      </c>
      <c r="H806" s="47">
        <f>IF('Lançamento Diário'!AC47="","",'Lançamento Diário'!AC47)</f>
        <v>3</v>
      </c>
    </row>
    <row r="807" spans="2:8" x14ac:dyDescent="0.25">
      <c r="B807" s="71">
        <v>46262</v>
      </c>
      <c r="C807" s="72">
        <v>28</v>
      </c>
      <c r="D807" s="72" t="s">
        <v>102</v>
      </c>
      <c r="E807" s="73" t="s">
        <v>39</v>
      </c>
      <c r="F807" s="73" t="s">
        <v>45</v>
      </c>
      <c r="G807" s="72" t="s">
        <v>84</v>
      </c>
      <c r="H807" s="47">
        <f>IF('Lançamento Diário'!AD47="","",'Lançamento Diário'!AD47)</f>
        <v>0</v>
      </c>
    </row>
    <row r="808" spans="2:8" x14ac:dyDescent="0.25">
      <c r="B808" s="71">
        <v>46263</v>
      </c>
      <c r="C808" s="72">
        <v>29</v>
      </c>
      <c r="D808" s="72" t="s">
        <v>96</v>
      </c>
      <c r="E808" s="73" t="s">
        <v>39</v>
      </c>
      <c r="F808" s="73" t="s">
        <v>45</v>
      </c>
      <c r="G808" s="72" t="s">
        <v>84</v>
      </c>
      <c r="H808" s="47">
        <f>IF('Lançamento Diário'!AE47="","",'Lançamento Diário'!AE47)</f>
        <v>3</v>
      </c>
    </row>
    <row r="809" spans="2:8" x14ac:dyDescent="0.25">
      <c r="B809" s="71">
        <v>46264</v>
      </c>
      <c r="C809" s="72">
        <v>30</v>
      </c>
      <c r="D809" s="72" t="s">
        <v>97</v>
      </c>
      <c r="E809" s="73" t="s">
        <v>39</v>
      </c>
      <c r="F809" s="73" t="s">
        <v>45</v>
      </c>
      <c r="G809" s="72" t="s">
        <v>84</v>
      </c>
      <c r="H809" s="47" t="str">
        <f>IF('Lançamento Diário'!AF47="","",'Lançamento Diário'!AF47)</f>
        <v/>
      </c>
    </row>
    <row r="810" spans="2:8" x14ac:dyDescent="0.25">
      <c r="B810" s="71">
        <v>46265</v>
      </c>
      <c r="C810" s="72">
        <v>31</v>
      </c>
      <c r="D810" s="72" t="s">
        <v>98</v>
      </c>
      <c r="E810" s="73" t="s">
        <v>39</v>
      </c>
      <c r="F810" s="73" t="s">
        <v>45</v>
      </c>
      <c r="G810" s="72" t="s">
        <v>84</v>
      </c>
      <c r="H810" s="47" t="str">
        <f>IF('Lançamento Diário'!AG47="","",'Lançamento Diário'!AG47)</f>
        <v/>
      </c>
    </row>
    <row r="811" spans="2:8" x14ac:dyDescent="0.25">
      <c r="B811" s="71">
        <v>46235</v>
      </c>
      <c r="C811" s="72">
        <v>1</v>
      </c>
      <c r="D811" s="72" t="s">
        <v>96</v>
      </c>
      <c r="E811" s="73" t="s">
        <v>39</v>
      </c>
      <c r="F811" s="73" t="s">
        <v>46</v>
      </c>
      <c r="G811" s="72" t="s">
        <v>84</v>
      </c>
      <c r="H811" s="47">
        <f>IF('Lançamento Diário'!C48="","",'Lançamento Diário'!C48)</f>
        <v>0</v>
      </c>
    </row>
    <row r="812" spans="2:8" x14ac:dyDescent="0.25">
      <c r="B812" s="71">
        <v>46236</v>
      </c>
      <c r="C812" s="72">
        <v>2</v>
      </c>
      <c r="D812" s="72" t="s">
        <v>97</v>
      </c>
      <c r="E812" s="73" t="s">
        <v>39</v>
      </c>
      <c r="F812" s="73" t="s">
        <v>46</v>
      </c>
      <c r="G812" s="72" t="s">
        <v>84</v>
      </c>
      <c r="H812" s="47">
        <f>IF('Lançamento Diário'!D48="","",'Lançamento Diário'!D48)</f>
        <v>0</v>
      </c>
    </row>
    <row r="813" spans="2:8" x14ac:dyDescent="0.25">
      <c r="B813" s="71">
        <v>46237</v>
      </c>
      <c r="C813" s="72">
        <v>3</v>
      </c>
      <c r="D813" s="72" t="s">
        <v>98</v>
      </c>
      <c r="E813" s="73" t="s">
        <v>39</v>
      </c>
      <c r="F813" s="73" t="s">
        <v>46</v>
      </c>
      <c r="G813" s="72" t="s">
        <v>84</v>
      </c>
      <c r="H813" s="47">
        <f>IF('Lançamento Diário'!E48="","",'Lançamento Diário'!E48)</f>
        <v>0</v>
      </c>
    </row>
    <row r="814" spans="2:8" x14ac:dyDescent="0.25">
      <c r="B814" s="71">
        <v>46238</v>
      </c>
      <c r="C814" s="72">
        <v>4</v>
      </c>
      <c r="D814" s="72" t="s">
        <v>99</v>
      </c>
      <c r="E814" s="73" t="s">
        <v>39</v>
      </c>
      <c r="F814" s="73" t="s">
        <v>46</v>
      </c>
      <c r="G814" s="72" t="s">
        <v>84</v>
      </c>
      <c r="H814" s="47">
        <f>IF('Lançamento Diário'!F48="","",'Lançamento Diário'!F48)</f>
        <v>0</v>
      </c>
    </row>
    <row r="815" spans="2:8" x14ac:dyDescent="0.25">
      <c r="B815" s="71">
        <v>46239</v>
      </c>
      <c r="C815" s="72">
        <v>5</v>
      </c>
      <c r="D815" s="72" t="s">
        <v>100</v>
      </c>
      <c r="E815" s="73" t="s">
        <v>39</v>
      </c>
      <c r="F815" s="73" t="s">
        <v>46</v>
      </c>
      <c r="G815" s="72" t="s">
        <v>84</v>
      </c>
      <c r="H815" s="47">
        <f>IF('Lançamento Diário'!G48="","",'Lançamento Diário'!G48)</f>
        <v>0</v>
      </c>
    </row>
    <row r="816" spans="2:8" x14ac:dyDescent="0.25">
      <c r="B816" s="71">
        <v>46240</v>
      </c>
      <c r="C816" s="72">
        <v>6</v>
      </c>
      <c r="D816" s="72" t="s">
        <v>101</v>
      </c>
      <c r="E816" s="73" t="s">
        <v>39</v>
      </c>
      <c r="F816" s="73" t="s">
        <v>46</v>
      </c>
      <c r="G816" s="72" t="s">
        <v>84</v>
      </c>
      <c r="H816" s="47">
        <f>IF('Lançamento Diário'!H48="","",'Lançamento Diário'!H48)</f>
        <v>0</v>
      </c>
    </row>
    <row r="817" spans="2:8" x14ac:dyDescent="0.25">
      <c r="B817" s="71">
        <v>46241</v>
      </c>
      <c r="C817" s="72">
        <v>7</v>
      </c>
      <c r="D817" s="72" t="s">
        <v>102</v>
      </c>
      <c r="E817" s="73" t="s">
        <v>39</v>
      </c>
      <c r="F817" s="73" t="s">
        <v>46</v>
      </c>
      <c r="G817" s="72" t="s">
        <v>84</v>
      </c>
      <c r="H817" s="47">
        <f>IF('Lançamento Diário'!I48="","",'Lançamento Diário'!I48)</f>
        <v>0</v>
      </c>
    </row>
    <row r="818" spans="2:8" x14ac:dyDescent="0.25">
      <c r="B818" s="71">
        <v>46242</v>
      </c>
      <c r="C818" s="72">
        <v>8</v>
      </c>
      <c r="D818" s="72" t="s">
        <v>96</v>
      </c>
      <c r="E818" s="73" t="s">
        <v>39</v>
      </c>
      <c r="F818" s="73" t="s">
        <v>46</v>
      </c>
      <c r="G818" s="72" t="s">
        <v>84</v>
      </c>
      <c r="H818" s="47">
        <f>IF('Lançamento Diário'!J48="","",'Lançamento Diário'!J48)</f>
        <v>0</v>
      </c>
    </row>
    <row r="819" spans="2:8" x14ac:dyDescent="0.25">
      <c r="B819" s="71">
        <v>46243</v>
      </c>
      <c r="C819" s="72">
        <v>9</v>
      </c>
      <c r="D819" s="72" t="s">
        <v>97</v>
      </c>
      <c r="E819" s="73" t="s">
        <v>39</v>
      </c>
      <c r="F819" s="73" t="s">
        <v>46</v>
      </c>
      <c r="G819" s="72" t="s">
        <v>84</v>
      </c>
      <c r="H819" s="47">
        <f>IF('Lançamento Diário'!K48="","",'Lançamento Diário'!K48)</f>
        <v>0</v>
      </c>
    </row>
    <row r="820" spans="2:8" x14ac:dyDescent="0.25">
      <c r="B820" s="71">
        <v>46244</v>
      </c>
      <c r="C820" s="72">
        <v>10</v>
      </c>
      <c r="D820" s="72" t="s">
        <v>98</v>
      </c>
      <c r="E820" s="73" t="s">
        <v>39</v>
      </c>
      <c r="F820" s="73" t="s">
        <v>46</v>
      </c>
      <c r="G820" s="72" t="s">
        <v>84</v>
      </c>
      <c r="H820" s="47">
        <f>IF('Lançamento Diário'!L48="","",'Lançamento Diário'!L48)</f>
        <v>0</v>
      </c>
    </row>
    <row r="821" spans="2:8" x14ac:dyDescent="0.25">
      <c r="B821" s="71">
        <v>46245</v>
      </c>
      <c r="C821" s="72">
        <v>11</v>
      </c>
      <c r="D821" s="72" t="s">
        <v>99</v>
      </c>
      <c r="E821" s="73" t="s">
        <v>39</v>
      </c>
      <c r="F821" s="73" t="s">
        <v>46</v>
      </c>
      <c r="G821" s="72" t="s">
        <v>84</v>
      </c>
      <c r="H821" s="47">
        <f>IF('Lançamento Diário'!M48="","",'Lançamento Diário'!M48)</f>
        <v>0</v>
      </c>
    </row>
    <row r="822" spans="2:8" x14ac:dyDescent="0.25">
      <c r="B822" s="71">
        <v>46246</v>
      </c>
      <c r="C822" s="72">
        <v>12</v>
      </c>
      <c r="D822" s="72" t="s">
        <v>100</v>
      </c>
      <c r="E822" s="73" t="s">
        <v>39</v>
      </c>
      <c r="F822" s="73" t="s">
        <v>46</v>
      </c>
      <c r="G822" s="72" t="s">
        <v>84</v>
      </c>
      <c r="H822" s="47">
        <f>IF('Lançamento Diário'!N48="","",'Lançamento Diário'!N48)</f>
        <v>0</v>
      </c>
    </row>
    <row r="823" spans="2:8" x14ac:dyDescent="0.25">
      <c r="B823" s="71">
        <v>46247</v>
      </c>
      <c r="C823" s="72">
        <v>13</v>
      </c>
      <c r="D823" s="72" t="s">
        <v>101</v>
      </c>
      <c r="E823" s="73" t="s">
        <v>39</v>
      </c>
      <c r="F823" s="73" t="s">
        <v>46</v>
      </c>
      <c r="G823" s="72" t="s">
        <v>84</v>
      </c>
      <c r="H823" s="47">
        <f>IF('Lançamento Diário'!O48="","",'Lançamento Diário'!O48)</f>
        <v>0</v>
      </c>
    </row>
    <row r="824" spans="2:8" x14ac:dyDescent="0.25">
      <c r="B824" s="71">
        <v>46248</v>
      </c>
      <c r="C824" s="72">
        <v>14</v>
      </c>
      <c r="D824" s="72" t="s">
        <v>102</v>
      </c>
      <c r="E824" s="73" t="s">
        <v>39</v>
      </c>
      <c r="F824" s="73" t="s">
        <v>46</v>
      </c>
      <c r="G824" s="72" t="s">
        <v>84</v>
      </c>
      <c r="H824" s="47">
        <f>IF('Lançamento Diário'!P48="","",'Lançamento Diário'!P48)</f>
        <v>0</v>
      </c>
    </row>
    <row r="825" spans="2:8" x14ac:dyDescent="0.25">
      <c r="B825" s="71">
        <v>46249</v>
      </c>
      <c r="C825" s="72">
        <v>15</v>
      </c>
      <c r="D825" s="72" t="s">
        <v>96</v>
      </c>
      <c r="E825" s="73" t="s">
        <v>39</v>
      </c>
      <c r="F825" s="73" t="s">
        <v>46</v>
      </c>
      <c r="G825" s="72" t="s">
        <v>84</v>
      </c>
      <c r="H825" s="47">
        <f>IF('Lançamento Diário'!Q48="","",'Lançamento Diário'!Q48)</f>
        <v>0</v>
      </c>
    </row>
    <row r="826" spans="2:8" x14ac:dyDescent="0.25">
      <c r="B826" s="71">
        <v>46250</v>
      </c>
      <c r="C826" s="72">
        <v>16</v>
      </c>
      <c r="D826" s="72" t="s">
        <v>97</v>
      </c>
      <c r="E826" s="73" t="s">
        <v>39</v>
      </c>
      <c r="F826" s="73" t="s">
        <v>46</v>
      </c>
      <c r="G826" s="72" t="s">
        <v>84</v>
      </c>
      <c r="H826" s="47">
        <f>IF('Lançamento Diário'!R48="","",'Lançamento Diário'!R48)</f>
        <v>0</v>
      </c>
    </row>
    <row r="827" spans="2:8" x14ac:dyDescent="0.25">
      <c r="B827" s="71">
        <v>46251</v>
      </c>
      <c r="C827" s="72">
        <v>17</v>
      </c>
      <c r="D827" s="72" t="s">
        <v>98</v>
      </c>
      <c r="E827" s="73" t="s">
        <v>39</v>
      </c>
      <c r="F827" s="73" t="s">
        <v>46</v>
      </c>
      <c r="G827" s="72" t="s">
        <v>84</v>
      </c>
      <c r="H827" s="47">
        <f>IF('Lançamento Diário'!S48="","",'Lançamento Diário'!S48)</f>
        <v>0</v>
      </c>
    </row>
    <row r="828" spans="2:8" x14ac:dyDescent="0.25">
      <c r="B828" s="71">
        <v>46252</v>
      </c>
      <c r="C828" s="72">
        <v>18</v>
      </c>
      <c r="D828" s="72" t="s">
        <v>99</v>
      </c>
      <c r="E828" s="73" t="s">
        <v>39</v>
      </c>
      <c r="F828" s="73" t="s">
        <v>46</v>
      </c>
      <c r="G828" s="72" t="s">
        <v>84</v>
      </c>
      <c r="H828" s="47">
        <f>IF('Lançamento Diário'!T48="","",'Lançamento Diário'!T48)</f>
        <v>0</v>
      </c>
    </row>
    <row r="829" spans="2:8" x14ac:dyDescent="0.25">
      <c r="B829" s="71">
        <v>46253</v>
      </c>
      <c r="C829" s="72">
        <v>19</v>
      </c>
      <c r="D829" s="72" t="s">
        <v>100</v>
      </c>
      <c r="E829" s="73" t="s">
        <v>39</v>
      </c>
      <c r="F829" s="73" t="s">
        <v>46</v>
      </c>
      <c r="G829" s="72" t="s">
        <v>84</v>
      </c>
      <c r="H829" s="47">
        <f>IF('Lançamento Diário'!U48="","",'Lançamento Diário'!U48)</f>
        <v>0</v>
      </c>
    </row>
    <row r="830" spans="2:8" x14ac:dyDescent="0.25">
      <c r="B830" s="71">
        <v>46254</v>
      </c>
      <c r="C830" s="72">
        <v>20</v>
      </c>
      <c r="D830" s="72" t="s">
        <v>101</v>
      </c>
      <c r="E830" s="73" t="s">
        <v>39</v>
      </c>
      <c r="F830" s="73" t="s">
        <v>46</v>
      </c>
      <c r="G830" s="72" t="s">
        <v>84</v>
      </c>
      <c r="H830" s="47">
        <f>IF('Lançamento Diário'!V48="","",'Lançamento Diário'!V48)</f>
        <v>0</v>
      </c>
    </row>
    <row r="831" spans="2:8" x14ac:dyDescent="0.25">
      <c r="B831" s="71">
        <v>46255</v>
      </c>
      <c r="C831" s="72">
        <v>21</v>
      </c>
      <c r="D831" s="72" t="s">
        <v>102</v>
      </c>
      <c r="E831" s="73" t="s">
        <v>39</v>
      </c>
      <c r="F831" s="73" t="s">
        <v>46</v>
      </c>
      <c r="G831" s="72" t="s">
        <v>84</v>
      </c>
      <c r="H831" s="47">
        <f>IF('Lançamento Diário'!W48="","",'Lançamento Diário'!W48)</f>
        <v>0</v>
      </c>
    </row>
    <row r="832" spans="2:8" x14ac:dyDescent="0.25">
      <c r="B832" s="71">
        <v>46256</v>
      </c>
      <c r="C832" s="72">
        <v>22</v>
      </c>
      <c r="D832" s="72" t="s">
        <v>96</v>
      </c>
      <c r="E832" s="73" t="s">
        <v>39</v>
      </c>
      <c r="F832" s="73" t="s">
        <v>46</v>
      </c>
      <c r="G832" s="72" t="s">
        <v>84</v>
      </c>
      <c r="H832" s="47">
        <f>IF('Lançamento Diário'!X48="","",'Lançamento Diário'!X48)</f>
        <v>0</v>
      </c>
    </row>
    <row r="833" spans="2:8" x14ac:dyDescent="0.25">
      <c r="B833" s="71">
        <v>46257</v>
      </c>
      <c r="C833" s="72">
        <v>23</v>
      </c>
      <c r="D833" s="72" t="s">
        <v>97</v>
      </c>
      <c r="E833" s="73" t="s">
        <v>39</v>
      </c>
      <c r="F833" s="73" t="s">
        <v>46</v>
      </c>
      <c r="G833" s="72" t="s">
        <v>84</v>
      </c>
      <c r="H833" s="47">
        <f>IF('Lançamento Diário'!Y48="","",'Lançamento Diário'!Y48)</f>
        <v>0</v>
      </c>
    </row>
    <row r="834" spans="2:8" x14ac:dyDescent="0.25">
      <c r="B834" s="71">
        <v>46258</v>
      </c>
      <c r="C834" s="72">
        <v>24</v>
      </c>
      <c r="D834" s="72" t="s">
        <v>98</v>
      </c>
      <c r="E834" s="73" t="s">
        <v>39</v>
      </c>
      <c r="F834" s="73" t="s">
        <v>46</v>
      </c>
      <c r="G834" s="72" t="s">
        <v>84</v>
      </c>
      <c r="H834" s="47">
        <f>IF('Lançamento Diário'!Z48="","",'Lançamento Diário'!Z48)</f>
        <v>0</v>
      </c>
    </row>
    <row r="835" spans="2:8" x14ac:dyDescent="0.25">
      <c r="B835" s="71">
        <v>46259</v>
      </c>
      <c r="C835" s="72">
        <v>25</v>
      </c>
      <c r="D835" s="72" t="s">
        <v>99</v>
      </c>
      <c r="E835" s="73" t="s">
        <v>39</v>
      </c>
      <c r="F835" s="73" t="s">
        <v>46</v>
      </c>
      <c r="G835" s="72" t="s">
        <v>84</v>
      </c>
      <c r="H835" s="47">
        <f>IF('Lançamento Diário'!AA48="","",'Lançamento Diário'!AA48)</f>
        <v>0</v>
      </c>
    </row>
    <row r="836" spans="2:8" x14ac:dyDescent="0.25">
      <c r="B836" s="71">
        <v>46260</v>
      </c>
      <c r="C836" s="72">
        <v>26</v>
      </c>
      <c r="D836" s="72" t="s">
        <v>100</v>
      </c>
      <c r="E836" s="73" t="s">
        <v>39</v>
      </c>
      <c r="F836" s="73" t="s">
        <v>46</v>
      </c>
      <c r="G836" s="72" t="s">
        <v>84</v>
      </c>
      <c r="H836" s="47">
        <f>IF('Lançamento Diário'!AB48="","",'Lançamento Diário'!AB48)</f>
        <v>0</v>
      </c>
    </row>
    <row r="837" spans="2:8" x14ac:dyDescent="0.25">
      <c r="B837" s="71">
        <v>46261</v>
      </c>
      <c r="C837" s="72">
        <v>27</v>
      </c>
      <c r="D837" s="72" t="s">
        <v>101</v>
      </c>
      <c r="E837" s="73" t="s">
        <v>39</v>
      </c>
      <c r="F837" s="73" t="s">
        <v>46</v>
      </c>
      <c r="G837" s="72" t="s">
        <v>84</v>
      </c>
      <c r="H837" s="47">
        <f>IF('Lançamento Diário'!AC48="","",'Lançamento Diário'!AC48)</f>
        <v>0</v>
      </c>
    </row>
    <row r="838" spans="2:8" x14ac:dyDescent="0.25">
      <c r="B838" s="71">
        <v>46262</v>
      </c>
      <c r="C838" s="72">
        <v>28</v>
      </c>
      <c r="D838" s="72" t="s">
        <v>102</v>
      </c>
      <c r="E838" s="73" t="s">
        <v>39</v>
      </c>
      <c r="F838" s="73" t="s">
        <v>46</v>
      </c>
      <c r="G838" s="72" t="s">
        <v>84</v>
      </c>
      <c r="H838" s="47">
        <f>IF('Lançamento Diário'!AD48="","",'Lançamento Diário'!AD48)</f>
        <v>0</v>
      </c>
    </row>
    <row r="839" spans="2:8" x14ac:dyDescent="0.25">
      <c r="B839" s="71">
        <v>46263</v>
      </c>
      <c r="C839" s="72">
        <v>29</v>
      </c>
      <c r="D839" s="72" t="s">
        <v>96</v>
      </c>
      <c r="E839" s="73" t="s">
        <v>39</v>
      </c>
      <c r="F839" s="73" t="s">
        <v>46</v>
      </c>
      <c r="G839" s="72" t="s">
        <v>84</v>
      </c>
      <c r="H839" s="47">
        <f>IF('Lançamento Diário'!AE48="","",'Lançamento Diário'!AE48)</f>
        <v>0</v>
      </c>
    </row>
    <row r="840" spans="2:8" x14ac:dyDescent="0.25">
      <c r="B840" s="71">
        <v>46264</v>
      </c>
      <c r="C840" s="72">
        <v>30</v>
      </c>
      <c r="D840" s="72" t="s">
        <v>97</v>
      </c>
      <c r="E840" s="73" t="s">
        <v>39</v>
      </c>
      <c r="F840" s="73" t="s">
        <v>46</v>
      </c>
      <c r="G840" s="72" t="s">
        <v>84</v>
      </c>
      <c r="H840" s="47" t="str">
        <f>IF('Lançamento Diário'!AF48="","",'Lançamento Diário'!AF48)</f>
        <v/>
      </c>
    </row>
    <row r="841" spans="2:8" x14ac:dyDescent="0.25">
      <c r="B841" s="71">
        <v>46265</v>
      </c>
      <c r="C841" s="72">
        <v>31</v>
      </c>
      <c r="D841" s="72" t="s">
        <v>98</v>
      </c>
      <c r="E841" s="73" t="s">
        <v>39</v>
      </c>
      <c r="F841" s="73" t="s">
        <v>46</v>
      </c>
      <c r="G841" s="72" t="s">
        <v>84</v>
      </c>
      <c r="H841" s="47" t="str">
        <f>IF('Lançamento Diário'!AG48="","",'Lançamento Diário'!AG48)</f>
        <v/>
      </c>
    </row>
    <row r="842" spans="2:8" x14ac:dyDescent="0.25">
      <c r="B842" s="71">
        <v>46235</v>
      </c>
      <c r="C842" s="72">
        <v>1</v>
      </c>
      <c r="D842" s="72" t="s">
        <v>96</v>
      </c>
      <c r="E842" s="73" t="s">
        <v>39</v>
      </c>
      <c r="F842" s="73" t="s">
        <v>47</v>
      </c>
      <c r="G842" s="72" t="s">
        <v>85</v>
      </c>
      <c r="H842" s="47">
        <f>IF('Lançamento Diário'!C49="","",'Lançamento Diário'!C49)</f>
        <v>1</v>
      </c>
    </row>
    <row r="843" spans="2:8" x14ac:dyDescent="0.25">
      <c r="B843" s="71">
        <v>46236</v>
      </c>
      <c r="C843" s="72">
        <v>2</v>
      </c>
      <c r="D843" s="72" t="s">
        <v>97</v>
      </c>
      <c r="E843" s="73" t="s">
        <v>39</v>
      </c>
      <c r="F843" s="73" t="s">
        <v>47</v>
      </c>
      <c r="G843" s="72" t="s">
        <v>85</v>
      </c>
      <c r="H843" s="47">
        <f>IF('Lançamento Diário'!D49="","",'Lançamento Diário'!D49)</f>
        <v>0</v>
      </c>
    </row>
    <row r="844" spans="2:8" x14ac:dyDescent="0.25">
      <c r="B844" s="71">
        <v>46237</v>
      </c>
      <c r="C844" s="72">
        <v>3</v>
      </c>
      <c r="D844" s="72" t="s">
        <v>98</v>
      </c>
      <c r="E844" s="73" t="s">
        <v>39</v>
      </c>
      <c r="F844" s="73" t="s">
        <v>47</v>
      </c>
      <c r="G844" s="72" t="s">
        <v>85</v>
      </c>
      <c r="H844" s="47">
        <f>IF('Lançamento Diário'!E49="","",'Lançamento Diário'!E49)</f>
        <v>0</v>
      </c>
    </row>
    <row r="845" spans="2:8" x14ac:dyDescent="0.25">
      <c r="B845" s="71">
        <v>46238</v>
      </c>
      <c r="C845" s="72">
        <v>4</v>
      </c>
      <c r="D845" s="72" t="s">
        <v>99</v>
      </c>
      <c r="E845" s="73" t="s">
        <v>39</v>
      </c>
      <c r="F845" s="73" t="s">
        <v>47</v>
      </c>
      <c r="G845" s="72" t="s">
        <v>85</v>
      </c>
      <c r="H845" s="47">
        <f>IF('Lançamento Diário'!F49="","",'Lançamento Diário'!F49)</f>
        <v>0</v>
      </c>
    </row>
    <row r="846" spans="2:8" x14ac:dyDescent="0.25">
      <c r="B846" s="71">
        <v>46239</v>
      </c>
      <c r="C846" s="72">
        <v>5</v>
      </c>
      <c r="D846" s="72" t="s">
        <v>100</v>
      </c>
      <c r="E846" s="73" t="s">
        <v>39</v>
      </c>
      <c r="F846" s="73" t="s">
        <v>47</v>
      </c>
      <c r="G846" s="72" t="s">
        <v>85</v>
      </c>
      <c r="H846" s="47">
        <f>IF('Lançamento Diário'!G49="","",'Lançamento Diário'!G49)</f>
        <v>0</v>
      </c>
    </row>
    <row r="847" spans="2:8" x14ac:dyDescent="0.25">
      <c r="B847" s="71">
        <v>46240</v>
      </c>
      <c r="C847" s="72">
        <v>6</v>
      </c>
      <c r="D847" s="72" t="s">
        <v>101</v>
      </c>
      <c r="E847" s="73" t="s">
        <v>39</v>
      </c>
      <c r="F847" s="73" t="s">
        <v>47</v>
      </c>
      <c r="G847" s="72" t="s">
        <v>85</v>
      </c>
      <c r="H847" s="47">
        <f>IF('Lançamento Diário'!H49="","",'Lançamento Diário'!H49)</f>
        <v>0</v>
      </c>
    </row>
    <row r="848" spans="2:8" x14ac:dyDescent="0.25">
      <c r="B848" s="71">
        <v>46241</v>
      </c>
      <c r="C848" s="72">
        <v>7</v>
      </c>
      <c r="D848" s="72" t="s">
        <v>102</v>
      </c>
      <c r="E848" s="73" t="s">
        <v>39</v>
      </c>
      <c r="F848" s="73" t="s">
        <v>47</v>
      </c>
      <c r="G848" s="72" t="s">
        <v>85</v>
      </c>
      <c r="H848" s="47">
        <f>IF('Lançamento Diário'!I49="","",'Lançamento Diário'!I49)</f>
        <v>0</v>
      </c>
    </row>
    <row r="849" spans="2:8" x14ac:dyDescent="0.25">
      <c r="B849" s="71">
        <v>46242</v>
      </c>
      <c r="C849" s="72">
        <v>8</v>
      </c>
      <c r="D849" s="72" t="s">
        <v>96</v>
      </c>
      <c r="E849" s="73" t="s">
        <v>39</v>
      </c>
      <c r="F849" s="73" t="s">
        <v>47</v>
      </c>
      <c r="G849" s="72" t="s">
        <v>85</v>
      </c>
      <c r="H849" s="47">
        <f>IF('Lançamento Diário'!J49="","",'Lançamento Diário'!J49)</f>
        <v>0</v>
      </c>
    </row>
    <row r="850" spans="2:8" x14ac:dyDescent="0.25">
      <c r="B850" s="71">
        <v>46243</v>
      </c>
      <c r="C850" s="72">
        <v>9</v>
      </c>
      <c r="D850" s="72" t="s">
        <v>97</v>
      </c>
      <c r="E850" s="73" t="s">
        <v>39</v>
      </c>
      <c r="F850" s="73" t="s">
        <v>47</v>
      </c>
      <c r="G850" s="72" t="s">
        <v>85</v>
      </c>
      <c r="H850" s="47">
        <f>IF('Lançamento Diário'!K49="","",'Lançamento Diário'!K49)</f>
        <v>0</v>
      </c>
    </row>
    <row r="851" spans="2:8" x14ac:dyDescent="0.25">
      <c r="B851" s="71">
        <v>46244</v>
      </c>
      <c r="C851" s="72">
        <v>10</v>
      </c>
      <c r="D851" s="72" t="s">
        <v>98</v>
      </c>
      <c r="E851" s="73" t="s">
        <v>39</v>
      </c>
      <c r="F851" s="73" t="s">
        <v>47</v>
      </c>
      <c r="G851" s="72" t="s">
        <v>85</v>
      </c>
      <c r="H851" s="47">
        <f>IF('Lançamento Diário'!L49="","",'Lançamento Diário'!L49)</f>
        <v>1</v>
      </c>
    </row>
    <row r="852" spans="2:8" x14ac:dyDescent="0.25">
      <c r="B852" s="71">
        <v>46245</v>
      </c>
      <c r="C852" s="72">
        <v>11</v>
      </c>
      <c r="D852" s="72" t="s">
        <v>99</v>
      </c>
      <c r="E852" s="73" t="s">
        <v>39</v>
      </c>
      <c r="F852" s="73" t="s">
        <v>47</v>
      </c>
      <c r="G852" s="72" t="s">
        <v>85</v>
      </c>
      <c r="H852" s="47">
        <f>IF('Lançamento Diário'!M49="","",'Lançamento Diário'!M49)</f>
        <v>0</v>
      </c>
    </row>
    <row r="853" spans="2:8" x14ac:dyDescent="0.25">
      <c r="B853" s="71">
        <v>46246</v>
      </c>
      <c r="C853" s="72">
        <v>12</v>
      </c>
      <c r="D853" s="72" t="s">
        <v>100</v>
      </c>
      <c r="E853" s="73" t="s">
        <v>39</v>
      </c>
      <c r="F853" s="73" t="s">
        <v>47</v>
      </c>
      <c r="G853" s="72" t="s">
        <v>85</v>
      </c>
      <c r="H853" s="47">
        <f>IF('Lançamento Diário'!N49="","",'Lançamento Diário'!N49)</f>
        <v>0</v>
      </c>
    </row>
    <row r="854" spans="2:8" x14ac:dyDescent="0.25">
      <c r="B854" s="71">
        <v>46247</v>
      </c>
      <c r="C854" s="72">
        <v>13</v>
      </c>
      <c r="D854" s="72" t="s">
        <v>101</v>
      </c>
      <c r="E854" s="73" t="s">
        <v>39</v>
      </c>
      <c r="F854" s="73" t="s">
        <v>47</v>
      </c>
      <c r="G854" s="72" t="s">
        <v>85</v>
      </c>
      <c r="H854" s="47">
        <f>IF('Lançamento Diário'!O49="","",'Lançamento Diário'!O49)</f>
        <v>0</v>
      </c>
    </row>
    <row r="855" spans="2:8" x14ac:dyDescent="0.25">
      <c r="B855" s="71">
        <v>46248</v>
      </c>
      <c r="C855" s="72">
        <v>14</v>
      </c>
      <c r="D855" s="72" t="s">
        <v>102</v>
      </c>
      <c r="E855" s="73" t="s">
        <v>39</v>
      </c>
      <c r="F855" s="73" t="s">
        <v>47</v>
      </c>
      <c r="G855" s="72" t="s">
        <v>85</v>
      </c>
      <c r="H855" s="47">
        <f>IF('Lançamento Diário'!P49="","",'Lançamento Diário'!P49)</f>
        <v>0</v>
      </c>
    </row>
    <row r="856" spans="2:8" x14ac:dyDescent="0.25">
      <c r="B856" s="71">
        <v>46249</v>
      </c>
      <c r="C856" s="72">
        <v>15</v>
      </c>
      <c r="D856" s="72" t="s">
        <v>96</v>
      </c>
      <c r="E856" s="73" t="s">
        <v>39</v>
      </c>
      <c r="F856" s="73" t="s">
        <v>47</v>
      </c>
      <c r="G856" s="72" t="s">
        <v>85</v>
      </c>
      <c r="H856" s="47">
        <f>IF('Lançamento Diário'!Q49="","",'Lançamento Diário'!Q49)</f>
        <v>1</v>
      </c>
    </row>
    <row r="857" spans="2:8" x14ac:dyDescent="0.25">
      <c r="B857" s="71">
        <v>46250</v>
      </c>
      <c r="C857" s="72">
        <v>16</v>
      </c>
      <c r="D857" s="72" t="s">
        <v>97</v>
      </c>
      <c r="E857" s="73" t="s">
        <v>39</v>
      </c>
      <c r="F857" s="73" t="s">
        <v>47</v>
      </c>
      <c r="G857" s="72" t="s">
        <v>85</v>
      </c>
      <c r="H857" s="47">
        <f>IF('Lançamento Diário'!R49="","",'Lançamento Diário'!R49)</f>
        <v>0</v>
      </c>
    </row>
    <row r="858" spans="2:8" x14ac:dyDescent="0.25">
      <c r="B858" s="71">
        <v>46251</v>
      </c>
      <c r="C858" s="72">
        <v>17</v>
      </c>
      <c r="D858" s="72" t="s">
        <v>98</v>
      </c>
      <c r="E858" s="73" t="s">
        <v>39</v>
      </c>
      <c r="F858" s="73" t="s">
        <v>47</v>
      </c>
      <c r="G858" s="72" t="s">
        <v>85</v>
      </c>
      <c r="H858" s="47">
        <f>IF('Lançamento Diário'!S49="","",'Lançamento Diário'!S49)</f>
        <v>0</v>
      </c>
    </row>
    <row r="859" spans="2:8" x14ac:dyDescent="0.25">
      <c r="B859" s="71">
        <v>46252</v>
      </c>
      <c r="C859" s="72">
        <v>18</v>
      </c>
      <c r="D859" s="72" t="s">
        <v>99</v>
      </c>
      <c r="E859" s="73" t="s">
        <v>39</v>
      </c>
      <c r="F859" s="73" t="s">
        <v>47</v>
      </c>
      <c r="G859" s="72" t="s">
        <v>85</v>
      </c>
      <c r="H859" s="47">
        <f>IF('Lançamento Diário'!T49="","",'Lançamento Diário'!T49)</f>
        <v>1</v>
      </c>
    </row>
    <row r="860" spans="2:8" x14ac:dyDescent="0.25">
      <c r="B860" s="71">
        <v>46253</v>
      </c>
      <c r="C860" s="72">
        <v>19</v>
      </c>
      <c r="D860" s="72" t="s">
        <v>100</v>
      </c>
      <c r="E860" s="73" t="s">
        <v>39</v>
      </c>
      <c r="F860" s="73" t="s">
        <v>47</v>
      </c>
      <c r="G860" s="72" t="s">
        <v>85</v>
      </c>
      <c r="H860" s="47">
        <f>IF('Lançamento Diário'!U49="","",'Lançamento Diário'!U49)</f>
        <v>1</v>
      </c>
    </row>
    <row r="861" spans="2:8" x14ac:dyDescent="0.25">
      <c r="B861" s="71">
        <v>46254</v>
      </c>
      <c r="C861" s="72">
        <v>20</v>
      </c>
      <c r="D861" s="72" t="s">
        <v>101</v>
      </c>
      <c r="E861" s="73" t="s">
        <v>39</v>
      </c>
      <c r="F861" s="73" t="s">
        <v>47</v>
      </c>
      <c r="G861" s="72" t="s">
        <v>85</v>
      </c>
      <c r="H861" s="47">
        <f>IF('Lançamento Diário'!V49="","",'Lançamento Diário'!V49)</f>
        <v>1</v>
      </c>
    </row>
    <row r="862" spans="2:8" x14ac:dyDescent="0.25">
      <c r="B862" s="71">
        <v>46255</v>
      </c>
      <c r="C862" s="72">
        <v>21</v>
      </c>
      <c r="D862" s="72" t="s">
        <v>102</v>
      </c>
      <c r="E862" s="73" t="s">
        <v>39</v>
      </c>
      <c r="F862" s="73" t="s">
        <v>47</v>
      </c>
      <c r="G862" s="72" t="s">
        <v>85</v>
      </c>
      <c r="H862" s="47">
        <f>IF('Lançamento Diário'!W49="","",'Lançamento Diário'!W49)</f>
        <v>0</v>
      </c>
    </row>
    <row r="863" spans="2:8" x14ac:dyDescent="0.25">
      <c r="B863" s="71">
        <v>46256</v>
      </c>
      <c r="C863" s="72">
        <v>22</v>
      </c>
      <c r="D863" s="72" t="s">
        <v>96</v>
      </c>
      <c r="E863" s="73" t="s">
        <v>39</v>
      </c>
      <c r="F863" s="73" t="s">
        <v>47</v>
      </c>
      <c r="G863" s="72" t="s">
        <v>85</v>
      </c>
      <c r="H863" s="47">
        <f>IF('Lançamento Diário'!X49="","",'Lançamento Diário'!X49)</f>
        <v>2</v>
      </c>
    </row>
    <row r="864" spans="2:8" x14ac:dyDescent="0.25">
      <c r="B864" s="71">
        <v>46257</v>
      </c>
      <c r="C864" s="72">
        <v>23</v>
      </c>
      <c r="D864" s="72" t="s">
        <v>97</v>
      </c>
      <c r="E864" s="73" t="s">
        <v>39</v>
      </c>
      <c r="F864" s="73" t="s">
        <v>47</v>
      </c>
      <c r="G864" s="72" t="s">
        <v>85</v>
      </c>
      <c r="H864" s="47">
        <f>IF('Lançamento Diário'!Y49="","",'Lançamento Diário'!Y49)</f>
        <v>0</v>
      </c>
    </row>
    <row r="865" spans="2:8" x14ac:dyDescent="0.25">
      <c r="B865" s="71">
        <v>46258</v>
      </c>
      <c r="C865" s="72">
        <v>24</v>
      </c>
      <c r="D865" s="72" t="s">
        <v>98</v>
      </c>
      <c r="E865" s="73" t="s">
        <v>39</v>
      </c>
      <c r="F865" s="73" t="s">
        <v>47</v>
      </c>
      <c r="G865" s="72" t="s">
        <v>85</v>
      </c>
      <c r="H865" s="47">
        <f>IF('Lançamento Diário'!Z49="","",'Lançamento Diário'!Z49)</f>
        <v>2</v>
      </c>
    </row>
    <row r="866" spans="2:8" x14ac:dyDescent="0.25">
      <c r="B866" s="71">
        <v>46259</v>
      </c>
      <c r="C866" s="72">
        <v>25</v>
      </c>
      <c r="D866" s="72" t="s">
        <v>99</v>
      </c>
      <c r="E866" s="73" t="s">
        <v>39</v>
      </c>
      <c r="F866" s="73" t="s">
        <v>47</v>
      </c>
      <c r="G866" s="72" t="s">
        <v>85</v>
      </c>
      <c r="H866" s="47">
        <f>IF('Lançamento Diário'!AA49="","",'Lançamento Diário'!AA49)</f>
        <v>3</v>
      </c>
    </row>
    <row r="867" spans="2:8" x14ac:dyDescent="0.25">
      <c r="B867" s="71">
        <v>46260</v>
      </c>
      <c r="C867" s="72">
        <v>26</v>
      </c>
      <c r="D867" s="72" t="s">
        <v>100</v>
      </c>
      <c r="E867" s="73" t="s">
        <v>39</v>
      </c>
      <c r="F867" s="73" t="s">
        <v>47</v>
      </c>
      <c r="G867" s="72" t="s">
        <v>85</v>
      </c>
      <c r="H867" s="47">
        <f>IF('Lançamento Diário'!AB49="","",'Lançamento Diário'!AB49)</f>
        <v>1</v>
      </c>
    </row>
    <row r="868" spans="2:8" x14ac:dyDescent="0.25">
      <c r="B868" s="71">
        <v>46261</v>
      </c>
      <c r="C868" s="72">
        <v>27</v>
      </c>
      <c r="D868" s="72" t="s">
        <v>101</v>
      </c>
      <c r="E868" s="73" t="s">
        <v>39</v>
      </c>
      <c r="F868" s="73" t="s">
        <v>47</v>
      </c>
      <c r="G868" s="72" t="s">
        <v>85</v>
      </c>
      <c r="H868" s="47">
        <f>IF('Lançamento Diário'!AC49="","",'Lançamento Diário'!AC49)</f>
        <v>1</v>
      </c>
    </row>
    <row r="869" spans="2:8" x14ac:dyDescent="0.25">
      <c r="B869" s="71">
        <v>46262</v>
      </c>
      <c r="C869" s="72">
        <v>28</v>
      </c>
      <c r="D869" s="72" t="s">
        <v>102</v>
      </c>
      <c r="E869" s="73" t="s">
        <v>39</v>
      </c>
      <c r="F869" s="73" t="s">
        <v>47</v>
      </c>
      <c r="G869" s="72" t="s">
        <v>85</v>
      </c>
      <c r="H869" s="47">
        <f>IF('Lançamento Diário'!AD49="","",'Lançamento Diário'!AD49)</f>
        <v>2</v>
      </c>
    </row>
    <row r="870" spans="2:8" x14ac:dyDescent="0.25">
      <c r="B870" s="71">
        <v>46263</v>
      </c>
      <c r="C870" s="72">
        <v>29</v>
      </c>
      <c r="D870" s="72" t="s">
        <v>96</v>
      </c>
      <c r="E870" s="73" t="s">
        <v>39</v>
      </c>
      <c r="F870" s="73" t="s">
        <v>47</v>
      </c>
      <c r="G870" s="72" t="s">
        <v>85</v>
      </c>
      <c r="H870" s="47">
        <f>IF('Lançamento Diário'!AE49="","",'Lançamento Diário'!AE49)</f>
        <v>0</v>
      </c>
    </row>
    <row r="871" spans="2:8" x14ac:dyDescent="0.25">
      <c r="B871" s="71">
        <v>46264</v>
      </c>
      <c r="C871" s="72">
        <v>30</v>
      </c>
      <c r="D871" s="72" t="s">
        <v>97</v>
      </c>
      <c r="E871" s="73" t="s">
        <v>39</v>
      </c>
      <c r="F871" s="73" t="s">
        <v>47</v>
      </c>
      <c r="G871" s="72" t="s">
        <v>85</v>
      </c>
      <c r="H871" s="47" t="str">
        <f>IF('Lançamento Diário'!AF49="","",'Lançamento Diário'!AF49)</f>
        <v/>
      </c>
    </row>
    <row r="872" spans="2:8" x14ac:dyDescent="0.25">
      <c r="B872" s="71">
        <v>46265</v>
      </c>
      <c r="C872" s="72">
        <v>31</v>
      </c>
      <c r="D872" s="72" t="s">
        <v>98</v>
      </c>
      <c r="E872" s="73" t="s">
        <v>39</v>
      </c>
      <c r="F872" s="73" t="s">
        <v>47</v>
      </c>
      <c r="G872" s="72" t="s">
        <v>85</v>
      </c>
      <c r="H872" s="47" t="str">
        <f>IF('Lançamento Diário'!AG49="","",'Lançamento Diário'!AG49)</f>
        <v/>
      </c>
    </row>
    <row r="873" spans="2:8" x14ac:dyDescent="0.25">
      <c r="B873" s="71">
        <v>46235</v>
      </c>
      <c r="C873" s="72">
        <v>1</v>
      </c>
      <c r="D873" s="72" t="s">
        <v>96</v>
      </c>
      <c r="E873" s="73" t="s">
        <v>39</v>
      </c>
      <c r="F873" s="73" t="s">
        <v>48</v>
      </c>
      <c r="G873" s="72" t="s">
        <v>85</v>
      </c>
      <c r="H873" s="47">
        <f>IF('Lançamento Diário'!C50="","",'Lançamento Diário'!C50)</f>
        <v>2</v>
      </c>
    </row>
    <row r="874" spans="2:8" x14ac:dyDescent="0.25">
      <c r="B874" s="71">
        <v>46236</v>
      </c>
      <c r="C874" s="72">
        <v>2</v>
      </c>
      <c r="D874" s="72" t="s">
        <v>97</v>
      </c>
      <c r="E874" s="73" t="s">
        <v>39</v>
      </c>
      <c r="F874" s="73" t="s">
        <v>48</v>
      </c>
      <c r="G874" s="72" t="s">
        <v>85</v>
      </c>
      <c r="H874" s="47">
        <f>IF('Lançamento Diário'!D50="","",'Lançamento Diário'!D50)</f>
        <v>0</v>
      </c>
    </row>
    <row r="875" spans="2:8" x14ac:dyDescent="0.25">
      <c r="B875" s="71">
        <v>46237</v>
      </c>
      <c r="C875" s="72">
        <v>3</v>
      </c>
      <c r="D875" s="72" t="s">
        <v>98</v>
      </c>
      <c r="E875" s="73" t="s">
        <v>39</v>
      </c>
      <c r="F875" s="73" t="s">
        <v>48</v>
      </c>
      <c r="G875" s="72" t="s">
        <v>85</v>
      </c>
      <c r="H875" s="47">
        <f>IF('Lançamento Diário'!E50="","",'Lançamento Diário'!E50)</f>
        <v>5</v>
      </c>
    </row>
    <row r="876" spans="2:8" x14ac:dyDescent="0.25">
      <c r="B876" s="71">
        <v>46238</v>
      </c>
      <c r="C876" s="72">
        <v>4</v>
      </c>
      <c r="D876" s="72" t="s">
        <v>99</v>
      </c>
      <c r="E876" s="73" t="s">
        <v>39</v>
      </c>
      <c r="F876" s="73" t="s">
        <v>48</v>
      </c>
      <c r="G876" s="72" t="s">
        <v>85</v>
      </c>
      <c r="H876" s="47">
        <f>IF('Lançamento Diário'!F50="","",'Lançamento Diário'!F50)</f>
        <v>3</v>
      </c>
    </row>
    <row r="877" spans="2:8" x14ac:dyDescent="0.25">
      <c r="B877" s="71">
        <v>46239</v>
      </c>
      <c r="C877" s="72">
        <v>5</v>
      </c>
      <c r="D877" s="72" t="s">
        <v>100</v>
      </c>
      <c r="E877" s="73" t="s">
        <v>39</v>
      </c>
      <c r="F877" s="73" t="s">
        <v>48</v>
      </c>
      <c r="G877" s="72" t="s">
        <v>85</v>
      </c>
      <c r="H877" s="47">
        <f>IF('Lançamento Diário'!G50="","",'Lançamento Diário'!G50)</f>
        <v>2</v>
      </c>
    </row>
    <row r="878" spans="2:8" x14ac:dyDescent="0.25">
      <c r="B878" s="71">
        <v>46240</v>
      </c>
      <c r="C878" s="72">
        <v>6</v>
      </c>
      <c r="D878" s="72" t="s">
        <v>101</v>
      </c>
      <c r="E878" s="73" t="s">
        <v>39</v>
      </c>
      <c r="F878" s="73" t="s">
        <v>48</v>
      </c>
      <c r="G878" s="72" t="s">
        <v>85</v>
      </c>
      <c r="H878" s="47">
        <f>IF('Lançamento Diário'!H50="","",'Lançamento Diário'!H50)</f>
        <v>2</v>
      </c>
    </row>
    <row r="879" spans="2:8" x14ac:dyDescent="0.25">
      <c r="B879" s="71">
        <v>46241</v>
      </c>
      <c r="C879" s="72">
        <v>7</v>
      </c>
      <c r="D879" s="72" t="s">
        <v>102</v>
      </c>
      <c r="E879" s="73" t="s">
        <v>39</v>
      </c>
      <c r="F879" s="73" t="s">
        <v>48</v>
      </c>
      <c r="G879" s="72" t="s">
        <v>85</v>
      </c>
      <c r="H879" s="47">
        <f>IF('Lançamento Diário'!I50="","",'Lançamento Diário'!I50)</f>
        <v>5</v>
      </c>
    </row>
    <row r="880" spans="2:8" x14ac:dyDescent="0.25">
      <c r="B880" s="71">
        <v>46242</v>
      </c>
      <c r="C880" s="72">
        <v>8</v>
      </c>
      <c r="D880" s="72" t="s">
        <v>96</v>
      </c>
      <c r="E880" s="73" t="s">
        <v>39</v>
      </c>
      <c r="F880" s="73" t="s">
        <v>48</v>
      </c>
      <c r="G880" s="72" t="s">
        <v>85</v>
      </c>
      <c r="H880" s="47">
        <f>IF('Lançamento Diário'!J50="","",'Lançamento Diário'!J50)</f>
        <v>0</v>
      </c>
    </row>
    <row r="881" spans="2:8" x14ac:dyDescent="0.25">
      <c r="B881" s="71">
        <v>46243</v>
      </c>
      <c r="C881" s="72">
        <v>9</v>
      </c>
      <c r="D881" s="72" t="s">
        <v>97</v>
      </c>
      <c r="E881" s="73" t="s">
        <v>39</v>
      </c>
      <c r="F881" s="73" t="s">
        <v>48</v>
      </c>
      <c r="G881" s="72" t="s">
        <v>85</v>
      </c>
      <c r="H881" s="47">
        <f>IF('Lançamento Diário'!K50="","",'Lançamento Diário'!K50)</f>
        <v>0</v>
      </c>
    </row>
    <row r="882" spans="2:8" x14ac:dyDescent="0.25">
      <c r="B882" s="71">
        <v>46244</v>
      </c>
      <c r="C882" s="72">
        <v>10</v>
      </c>
      <c r="D882" s="72" t="s">
        <v>98</v>
      </c>
      <c r="E882" s="73" t="s">
        <v>39</v>
      </c>
      <c r="F882" s="73" t="s">
        <v>48</v>
      </c>
      <c r="G882" s="72" t="s">
        <v>85</v>
      </c>
      <c r="H882" s="47">
        <f>IF('Lançamento Diário'!L50="","",'Lançamento Diário'!L50)</f>
        <v>0</v>
      </c>
    </row>
    <row r="883" spans="2:8" x14ac:dyDescent="0.25">
      <c r="B883" s="71">
        <v>46245</v>
      </c>
      <c r="C883" s="72">
        <v>11</v>
      </c>
      <c r="D883" s="72" t="s">
        <v>99</v>
      </c>
      <c r="E883" s="73" t="s">
        <v>39</v>
      </c>
      <c r="F883" s="73" t="s">
        <v>48</v>
      </c>
      <c r="G883" s="72" t="s">
        <v>85</v>
      </c>
      <c r="H883" s="47">
        <f>IF('Lançamento Diário'!M50="","",'Lançamento Diário'!M50)</f>
        <v>0</v>
      </c>
    </row>
    <row r="884" spans="2:8" x14ac:dyDescent="0.25">
      <c r="B884" s="71">
        <v>46246</v>
      </c>
      <c r="C884" s="72">
        <v>12</v>
      </c>
      <c r="D884" s="72" t="s">
        <v>100</v>
      </c>
      <c r="E884" s="73" t="s">
        <v>39</v>
      </c>
      <c r="F884" s="73" t="s">
        <v>48</v>
      </c>
      <c r="G884" s="72" t="s">
        <v>85</v>
      </c>
      <c r="H884" s="47">
        <f>IF('Lançamento Diário'!N50="","",'Lançamento Diário'!N50)</f>
        <v>1</v>
      </c>
    </row>
    <row r="885" spans="2:8" x14ac:dyDescent="0.25">
      <c r="B885" s="71">
        <v>46247</v>
      </c>
      <c r="C885" s="72">
        <v>13</v>
      </c>
      <c r="D885" s="72" t="s">
        <v>101</v>
      </c>
      <c r="E885" s="73" t="s">
        <v>39</v>
      </c>
      <c r="F885" s="73" t="s">
        <v>48</v>
      </c>
      <c r="G885" s="72" t="s">
        <v>85</v>
      </c>
      <c r="H885" s="47">
        <f>IF('Lançamento Diário'!O50="","",'Lançamento Diário'!O50)</f>
        <v>3</v>
      </c>
    </row>
    <row r="886" spans="2:8" x14ac:dyDescent="0.25">
      <c r="B886" s="71">
        <v>46248</v>
      </c>
      <c r="C886" s="72">
        <v>14</v>
      </c>
      <c r="D886" s="72" t="s">
        <v>102</v>
      </c>
      <c r="E886" s="73" t="s">
        <v>39</v>
      </c>
      <c r="F886" s="73" t="s">
        <v>48</v>
      </c>
      <c r="G886" s="72" t="s">
        <v>85</v>
      </c>
      <c r="H886" s="47">
        <f>IF('Lançamento Diário'!P50="","",'Lançamento Diário'!P50)</f>
        <v>3</v>
      </c>
    </row>
    <row r="887" spans="2:8" x14ac:dyDescent="0.25">
      <c r="B887" s="71">
        <v>46249</v>
      </c>
      <c r="C887" s="72">
        <v>15</v>
      </c>
      <c r="D887" s="72" t="s">
        <v>96</v>
      </c>
      <c r="E887" s="73" t="s">
        <v>39</v>
      </c>
      <c r="F887" s="73" t="s">
        <v>48</v>
      </c>
      <c r="G887" s="72" t="s">
        <v>85</v>
      </c>
      <c r="H887" s="47">
        <f>IF('Lançamento Diário'!Q50="","",'Lançamento Diário'!Q50)</f>
        <v>0</v>
      </c>
    </row>
    <row r="888" spans="2:8" x14ac:dyDescent="0.25">
      <c r="B888" s="71">
        <v>46250</v>
      </c>
      <c r="C888" s="72">
        <v>16</v>
      </c>
      <c r="D888" s="72" t="s">
        <v>97</v>
      </c>
      <c r="E888" s="73" t="s">
        <v>39</v>
      </c>
      <c r="F888" s="73" t="s">
        <v>48</v>
      </c>
      <c r="G888" s="72" t="s">
        <v>85</v>
      </c>
      <c r="H888" s="47">
        <f>IF('Lançamento Diário'!R50="","",'Lançamento Diário'!R50)</f>
        <v>0</v>
      </c>
    </row>
    <row r="889" spans="2:8" x14ac:dyDescent="0.25">
      <c r="B889" s="71">
        <v>46251</v>
      </c>
      <c r="C889" s="72">
        <v>17</v>
      </c>
      <c r="D889" s="72" t="s">
        <v>98</v>
      </c>
      <c r="E889" s="73" t="s">
        <v>39</v>
      </c>
      <c r="F889" s="73" t="s">
        <v>48</v>
      </c>
      <c r="G889" s="72" t="s">
        <v>85</v>
      </c>
      <c r="H889" s="47">
        <f>IF('Lançamento Diário'!S50="","",'Lançamento Diário'!S50)</f>
        <v>2</v>
      </c>
    </row>
    <row r="890" spans="2:8" x14ac:dyDescent="0.25">
      <c r="B890" s="71">
        <v>46252</v>
      </c>
      <c r="C890" s="72">
        <v>18</v>
      </c>
      <c r="D890" s="72" t="s">
        <v>99</v>
      </c>
      <c r="E890" s="73" t="s">
        <v>39</v>
      </c>
      <c r="F890" s="73" t="s">
        <v>48</v>
      </c>
      <c r="G890" s="72" t="s">
        <v>85</v>
      </c>
      <c r="H890" s="47">
        <f>IF('Lançamento Diário'!T50="","",'Lançamento Diário'!T50)</f>
        <v>3</v>
      </c>
    </row>
    <row r="891" spans="2:8" x14ac:dyDescent="0.25">
      <c r="B891" s="71">
        <v>46253</v>
      </c>
      <c r="C891" s="72">
        <v>19</v>
      </c>
      <c r="D891" s="72" t="s">
        <v>100</v>
      </c>
      <c r="E891" s="73" t="s">
        <v>39</v>
      </c>
      <c r="F891" s="73" t="s">
        <v>48</v>
      </c>
      <c r="G891" s="72" t="s">
        <v>85</v>
      </c>
      <c r="H891" s="47">
        <f>IF('Lançamento Diário'!U50="","",'Lançamento Diário'!U50)</f>
        <v>0</v>
      </c>
    </row>
    <row r="892" spans="2:8" x14ac:dyDescent="0.25">
      <c r="B892" s="71">
        <v>46254</v>
      </c>
      <c r="C892" s="72">
        <v>20</v>
      </c>
      <c r="D892" s="72" t="s">
        <v>101</v>
      </c>
      <c r="E892" s="73" t="s">
        <v>39</v>
      </c>
      <c r="F892" s="73" t="s">
        <v>48</v>
      </c>
      <c r="G892" s="72" t="s">
        <v>85</v>
      </c>
      <c r="H892" s="47">
        <f>IF('Lançamento Diário'!V50="","",'Lançamento Diário'!V50)</f>
        <v>0</v>
      </c>
    </row>
    <row r="893" spans="2:8" x14ac:dyDescent="0.25">
      <c r="B893" s="71">
        <v>46255</v>
      </c>
      <c r="C893" s="72">
        <v>21</v>
      </c>
      <c r="D893" s="72" t="s">
        <v>102</v>
      </c>
      <c r="E893" s="73" t="s">
        <v>39</v>
      </c>
      <c r="F893" s="73" t="s">
        <v>48</v>
      </c>
      <c r="G893" s="72" t="s">
        <v>85</v>
      </c>
      <c r="H893" s="47">
        <f>IF('Lançamento Diário'!W50="","",'Lançamento Diário'!W50)</f>
        <v>3</v>
      </c>
    </row>
    <row r="894" spans="2:8" x14ac:dyDescent="0.25">
      <c r="B894" s="71">
        <v>46256</v>
      </c>
      <c r="C894" s="72">
        <v>22</v>
      </c>
      <c r="D894" s="72" t="s">
        <v>96</v>
      </c>
      <c r="E894" s="73" t="s">
        <v>39</v>
      </c>
      <c r="F894" s="73" t="s">
        <v>48</v>
      </c>
      <c r="G894" s="72" t="s">
        <v>85</v>
      </c>
      <c r="H894" s="47">
        <f>IF('Lançamento Diário'!X50="","",'Lançamento Diário'!X50)</f>
        <v>0</v>
      </c>
    </row>
    <row r="895" spans="2:8" x14ac:dyDescent="0.25">
      <c r="B895" s="71">
        <v>46257</v>
      </c>
      <c r="C895" s="72">
        <v>23</v>
      </c>
      <c r="D895" s="72" t="s">
        <v>97</v>
      </c>
      <c r="E895" s="73" t="s">
        <v>39</v>
      </c>
      <c r="F895" s="73" t="s">
        <v>48</v>
      </c>
      <c r="G895" s="72" t="s">
        <v>85</v>
      </c>
      <c r="H895" s="47">
        <f>IF('Lançamento Diário'!Y50="","",'Lançamento Diário'!Y50)</f>
        <v>0</v>
      </c>
    </row>
    <row r="896" spans="2:8" x14ac:dyDescent="0.25">
      <c r="B896" s="71">
        <v>46258</v>
      </c>
      <c r="C896" s="72">
        <v>24</v>
      </c>
      <c r="D896" s="72" t="s">
        <v>98</v>
      </c>
      <c r="E896" s="73" t="s">
        <v>39</v>
      </c>
      <c r="F896" s="73" t="s">
        <v>48</v>
      </c>
      <c r="G896" s="72" t="s">
        <v>85</v>
      </c>
      <c r="H896" s="47">
        <f>IF('Lançamento Diário'!Z50="","",'Lançamento Diário'!Z50)</f>
        <v>3</v>
      </c>
    </row>
    <row r="897" spans="2:8" x14ac:dyDescent="0.25">
      <c r="B897" s="71">
        <v>46259</v>
      </c>
      <c r="C897" s="72">
        <v>25</v>
      </c>
      <c r="D897" s="72" t="s">
        <v>99</v>
      </c>
      <c r="E897" s="73" t="s">
        <v>39</v>
      </c>
      <c r="F897" s="73" t="s">
        <v>48</v>
      </c>
      <c r="G897" s="72" t="s">
        <v>85</v>
      </c>
      <c r="H897" s="47">
        <f>IF('Lançamento Diário'!AA50="","",'Lançamento Diário'!AA50)</f>
        <v>0</v>
      </c>
    </row>
    <row r="898" spans="2:8" x14ac:dyDescent="0.25">
      <c r="B898" s="71">
        <v>46260</v>
      </c>
      <c r="C898" s="72">
        <v>26</v>
      </c>
      <c r="D898" s="72" t="s">
        <v>100</v>
      </c>
      <c r="E898" s="73" t="s">
        <v>39</v>
      </c>
      <c r="F898" s="73" t="s">
        <v>48</v>
      </c>
      <c r="G898" s="72" t="s">
        <v>85</v>
      </c>
      <c r="H898" s="47">
        <f>IF('Lançamento Diário'!AB50="","",'Lançamento Diário'!AB50)</f>
        <v>1</v>
      </c>
    </row>
    <row r="899" spans="2:8" x14ac:dyDescent="0.25">
      <c r="B899" s="71">
        <v>46261</v>
      </c>
      <c r="C899" s="72">
        <v>27</v>
      </c>
      <c r="D899" s="72" t="s">
        <v>101</v>
      </c>
      <c r="E899" s="73" t="s">
        <v>39</v>
      </c>
      <c r="F899" s="73" t="s">
        <v>48</v>
      </c>
      <c r="G899" s="72" t="s">
        <v>85</v>
      </c>
      <c r="H899" s="47">
        <f>IF('Lançamento Diário'!AC50="","",'Lançamento Diário'!AC50)</f>
        <v>1</v>
      </c>
    </row>
    <row r="900" spans="2:8" x14ac:dyDescent="0.25">
      <c r="B900" s="71">
        <v>46262</v>
      </c>
      <c r="C900" s="72">
        <v>28</v>
      </c>
      <c r="D900" s="72" t="s">
        <v>102</v>
      </c>
      <c r="E900" s="73" t="s">
        <v>39</v>
      </c>
      <c r="F900" s="73" t="s">
        <v>48</v>
      </c>
      <c r="G900" s="72" t="s">
        <v>85</v>
      </c>
      <c r="H900" s="47">
        <f>IF('Lançamento Diário'!AD50="","",'Lançamento Diário'!AD50)</f>
        <v>1</v>
      </c>
    </row>
    <row r="901" spans="2:8" x14ac:dyDescent="0.25">
      <c r="B901" s="71">
        <v>46263</v>
      </c>
      <c r="C901" s="72">
        <v>29</v>
      </c>
      <c r="D901" s="72" t="s">
        <v>96</v>
      </c>
      <c r="E901" s="73" t="s">
        <v>39</v>
      </c>
      <c r="F901" s="73" t="s">
        <v>48</v>
      </c>
      <c r="G901" s="72" t="s">
        <v>85</v>
      </c>
      <c r="H901" s="47">
        <f>IF('Lançamento Diário'!AE50="","",'Lançamento Diário'!AE50)</f>
        <v>2</v>
      </c>
    </row>
    <row r="902" spans="2:8" x14ac:dyDescent="0.25">
      <c r="B902" s="71">
        <v>46264</v>
      </c>
      <c r="C902" s="72">
        <v>30</v>
      </c>
      <c r="D902" s="72" t="s">
        <v>97</v>
      </c>
      <c r="E902" s="73" t="s">
        <v>39</v>
      </c>
      <c r="F902" s="73" t="s">
        <v>48</v>
      </c>
      <c r="G902" s="72" t="s">
        <v>85</v>
      </c>
      <c r="H902" s="47" t="str">
        <f>IF('Lançamento Diário'!AF50="","",'Lançamento Diário'!AF50)</f>
        <v/>
      </c>
    </row>
    <row r="903" spans="2:8" x14ac:dyDescent="0.25">
      <c r="B903" s="71">
        <v>46265</v>
      </c>
      <c r="C903" s="72">
        <v>31</v>
      </c>
      <c r="D903" s="72" t="s">
        <v>98</v>
      </c>
      <c r="E903" s="73" t="s">
        <v>39</v>
      </c>
      <c r="F903" s="73" t="s">
        <v>48</v>
      </c>
      <c r="G903" s="72" t="s">
        <v>85</v>
      </c>
      <c r="H903" s="47" t="str">
        <f>IF('Lançamento Diário'!AG50="","",'Lançamento Diário'!AG50)</f>
        <v/>
      </c>
    </row>
    <row r="904" spans="2:8" x14ac:dyDescent="0.25">
      <c r="B904" s="71">
        <v>46235</v>
      </c>
      <c r="C904" s="72">
        <v>1</v>
      </c>
      <c r="D904" s="72" t="s">
        <v>96</v>
      </c>
      <c r="E904" s="73" t="s">
        <v>39</v>
      </c>
      <c r="F904" s="73" t="s">
        <v>49</v>
      </c>
      <c r="G904" s="72" t="s">
        <v>49</v>
      </c>
      <c r="H904" s="47">
        <f>IF('Lançamento Diário'!C51="","",'Lançamento Diário'!C51)</f>
        <v>0</v>
      </c>
    </row>
    <row r="905" spans="2:8" x14ac:dyDescent="0.25">
      <c r="B905" s="71">
        <v>46236</v>
      </c>
      <c r="C905" s="72">
        <v>2</v>
      </c>
      <c r="D905" s="72" t="s">
        <v>97</v>
      </c>
      <c r="E905" s="73" t="s">
        <v>39</v>
      </c>
      <c r="F905" s="73" t="s">
        <v>49</v>
      </c>
      <c r="G905" s="72" t="s">
        <v>49</v>
      </c>
      <c r="H905" s="47">
        <f>IF('Lançamento Diário'!D51="","",'Lançamento Diário'!D51)</f>
        <v>0</v>
      </c>
    </row>
    <row r="906" spans="2:8" x14ac:dyDescent="0.25">
      <c r="B906" s="71">
        <v>46237</v>
      </c>
      <c r="C906" s="72">
        <v>3</v>
      </c>
      <c r="D906" s="72" t="s">
        <v>98</v>
      </c>
      <c r="E906" s="73" t="s">
        <v>39</v>
      </c>
      <c r="F906" s="73" t="s">
        <v>49</v>
      </c>
      <c r="G906" s="72" t="s">
        <v>49</v>
      </c>
      <c r="H906" s="47">
        <f>IF('Lançamento Diário'!E51="","",'Lançamento Diário'!E51)</f>
        <v>0</v>
      </c>
    </row>
    <row r="907" spans="2:8" x14ac:dyDescent="0.25">
      <c r="B907" s="71">
        <v>46238</v>
      </c>
      <c r="C907" s="72">
        <v>4</v>
      </c>
      <c r="D907" s="72" t="s">
        <v>99</v>
      </c>
      <c r="E907" s="73" t="s">
        <v>39</v>
      </c>
      <c r="F907" s="73" t="s">
        <v>49</v>
      </c>
      <c r="G907" s="72" t="s">
        <v>49</v>
      </c>
      <c r="H907" s="47">
        <f>IF('Lançamento Diário'!F51="","",'Lançamento Diário'!F51)</f>
        <v>0</v>
      </c>
    </row>
    <row r="908" spans="2:8" x14ac:dyDescent="0.25">
      <c r="B908" s="71">
        <v>46239</v>
      </c>
      <c r="C908" s="72">
        <v>5</v>
      </c>
      <c r="D908" s="72" t="s">
        <v>100</v>
      </c>
      <c r="E908" s="73" t="s">
        <v>39</v>
      </c>
      <c r="F908" s="73" t="s">
        <v>49</v>
      </c>
      <c r="G908" s="72" t="s">
        <v>49</v>
      </c>
      <c r="H908" s="47">
        <f>IF('Lançamento Diário'!G51="","",'Lançamento Diário'!G51)</f>
        <v>0</v>
      </c>
    </row>
    <row r="909" spans="2:8" x14ac:dyDescent="0.25">
      <c r="B909" s="71">
        <v>46240</v>
      </c>
      <c r="C909" s="72">
        <v>6</v>
      </c>
      <c r="D909" s="72" t="s">
        <v>101</v>
      </c>
      <c r="E909" s="73" t="s">
        <v>39</v>
      </c>
      <c r="F909" s="73" t="s">
        <v>49</v>
      </c>
      <c r="G909" s="72" t="s">
        <v>49</v>
      </c>
      <c r="H909" s="47">
        <f>IF('Lançamento Diário'!H51="","",'Lançamento Diário'!H51)</f>
        <v>0</v>
      </c>
    </row>
    <row r="910" spans="2:8" x14ac:dyDescent="0.25">
      <c r="B910" s="71">
        <v>46241</v>
      </c>
      <c r="C910" s="72">
        <v>7</v>
      </c>
      <c r="D910" s="72" t="s">
        <v>102</v>
      </c>
      <c r="E910" s="73" t="s">
        <v>39</v>
      </c>
      <c r="F910" s="73" t="s">
        <v>49</v>
      </c>
      <c r="G910" s="72" t="s">
        <v>49</v>
      </c>
      <c r="H910" s="47">
        <f>IF('Lançamento Diário'!I51="","",'Lançamento Diário'!I51)</f>
        <v>0</v>
      </c>
    </row>
    <row r="911" spans="2:8" x14ac:dyDescent="0.25">
      <c r="B911" s="71">
        <v>46242</v>
      </c>
      <c r="C911" s="72">
        <v>8</v>
      </c>
      <c r="D911" s="72" t="s">
        <v>96</v>
      </c>
      <c r="E911" s="73" t="s">
        <v>39</v>
      </c>
      <c r="F911" s="73" t="s">
        <v>49</v>
      </c>
      <c r="G911" s="72" t="s">
        <v>49</v>
      </c>
      <c r="H911" s="47">
        <f>IF('Lançamento Diário'!J51="","",'Lançamento Diário'!J51)</f>
        <v>0</v>
      </c>
    </row>
    <row r="912" spans="2:8" x14ac:dyDescent="0.25">
      <c r="B912" s="71">
        <v>46243</v>
      </c>
      <c r="C912" s="72">
        <v>9</v>
      </c>
      <c r="D912" s="72" t="s">
        <v>97</v>
      </c>
      <c r="E912" s="73" t="s">
        <v>39</v>
      </c>
      <c r="F912" s="73" t="s">
        <v>49</v>
      </c>
      <c r="G912" s="72" t="s">
        <v>49</v>
      </c>
      <c r="H912" s="47">
        <f>IF('Lançamento Diário'!K51="","",'Lançamento Diário'!K51)</f>
        <v>0</v>
      </c>
    </row>
    <row r="913" spans="2:8" x14ac:dyDescent="0.25">
      <c r="B913" s="71">
        <v>46244</v>
      </c>
      <c r="C913" s="72">
        <v>10</v>
      </c>
      <c r="D913" s="72" t="s">
        <v>98</v>
      </c>
      <c r="E913" s="73" t="s">
        <v>39</v>
      </c>
      <c r="F913" s="73" t="s">
        <v>49</v>
      </c>
      <c r="G913" s="72" t="s">
        <v>49</v>
      </c>
      <c r="H913" s="47">
        <f>IF('Lançamento Diário'!L51="","",'Lançamento Diário'!L51)</f>
        <v>0</v>
      </c>
    </row>
    <row r="914" spans="2:8" x14ac:dyDescent="0.25">
      <c r="B914" s="71">
        <v>46245</v>
      </c>
      <c r="C914" s="72">
        <v>11</v>
      </c>
      <c r="D914" s="72" t="s">
        <v>99</v>
      </c>
      <c r="E914" s="73" t="s">
        <v>39</v>
      </c>
      <c r="F914" s="73" t="s">
        <v>49</v>
      </c>
      <c r="G914" s="72" t="s">
        <v>49</v>
      </c>
      <c r="H914" s="47">
        <f>IF('Lançamento Diário'!M51="","",'Lançamento Diário'!M51)</f>
        <v>0</v>
      </c>
    </row>
    <row r="915" spans="2:8" x14ac:dyDescent="0.25">
      <c r="B915" s="71">
        <v>46246</v>
      </c>
      <c r="C915" s="72">
        <v>12</v>
      </c>
      <c r="D915" s="72" t="s">
        <v>100</v>
      </c>
      <c r="E915" s="73" t="s">
        <v>39</v>
      </c>
      <c r="F915" s="73" t="s">
        <v>49</v>
      </c>
      <c r="G915" s="72" t="s">
        <v>49</v>
      </c>
      <c r="H915" s="47">
        <f>IF('Lançamento Diário'!N51="","",'Lançamento Diário'!N51)</f>
        <v>0</v>
      </c>
    </row>
    <row r="916" spans="2:8" x14ac:dyDescent="0.25">
      <c r="B916" s="71">
        <v>46247</v>
      </c>
      <c r="C916" s="72">
        <v>13</v>
      </c>
      <c r="D916" s="72" t="s">
        <v>101</v>
      </c>
      <c r="E916" s="73" t="s">
        <v>39</v>
      </c>
      <c r="F916" s="73" t="s">
        <v>49</v>
      </c>
      <c r="G916" s="72" t="s">
        <v>49</v>
      </c>
      <c r="H916" s="47">
        <f>IF('Lançamento Diário'!O51="","",'Lançamento Diário'!O51)</f>
        <v>0</v>
      </c>
    </row>
    <row r="917" spans="2:8" x14ac:dyDescent="0.25">
      <c r="B917" s="71">
        <v>46248</v>
      </c>
      <c r="C917" s="72">
        <v>14</v>
      </c>
      <c r="D917" s="72" t="s">
        <v>102</v>
      </c>
      <c r="E917" s="73" t="s">
        <v>39</v>
      </c>
      <c r="F917" s="73" t="s">
        <v>49</v>
      </c>
      <c r="G917" s="72" t="s">
        <v>49</v>
      </c>
      <c r="H917" s="47">
        <f>IF('Lançamento Diário'!P51="","",'Lançamento Diário'!P51)</f>
        <v>0</v>
      </c>
    </row>
    <row r="918" spans="2:8" x14ac:dyDescent="0.25">
      <c r="B918" s="71">
        <v>46249</v>
      </c>
      <c r="C918" s="72">
        <v>15</v>
      </c>
      <c r="D918" s="72" t="s">
        <v>96</v>
      </c>
      <c r="E918" s="73" t="s">
        <v>39</v>
      </c>
      <c r="F918" s="73" t="s">
        <v>49</v>
      </c>
      <c r="G918" s="72" t="s">
        <v>49</v>
      </c>
      <c r="H918" s="47">
        <f>IF('Lançamento Diário'!Q51="","",'Lançamento Diário'!Q51)</f>
        <v>0</v>
      </c>
    </row>
    <row r="919" spans="2:8" x14ac:dyDescent="0.25">
      <c r="B919" s="71">
        <v>46250</v>
      </c>
      <c r="C919" s="72">
        <v>16</v>
      </c>
      <c r="D919" s="72" t="s">
        <v>97</v>
      </c>
      <c r="E919" s="73" t="s">
        <v>39</v>
      </c>
      <c r="F919" s="73" t="s">
        <v>49</v>
      </c>
      <c r="G919" s="72" t="s">
        <v>49</v>
      </c>
      <c r="H919" s="47">
        <f>IF('Lançamento Diário'!R51="","",'Lançamento Diário'!R51)</f>
        <v>0</v>
      </c>
    </row>
    <row r="920" spans="2:8" x14ac:dyDescent="0.25">
      <c r="B920" s="71">
        <v>46251</v>
      </c>
      <c r="C920" s="72">
        <v>17</v>
      </c>
      <c r="D920" s="72" t="s">
        <v>98</v>
      </c>
      <c r="E920" s="73" t="s">
        <v>39</v>
      </c>
      <c r="F920" s="73" t="s">
        <v>49</v>
      </c>
      <c r="G920" s="72" t="s">
        <v>49</v>
      </c>
      <c r="H920" s="47">
        <f>IF('Lançamento Diário'!S51="","",'Lançamento Diário'!S51)</f>
        <v>0</v>
      </c>
    </row>
    <row r="921" spans="2:8" x14ac:dyDescent="0.25">
      <c r="B921" s="71">
        <v>46252</v>
      </c>
      <c r="C921" s="72">
        <v>18</v>
      </c>
      <c r="D921" s="72" t="s">
        <v>99</v>
      </c>
      <c r="E921" s="73" t="s">
        <v>39</v>
      </c>
      <c r="F921" s="73" t="s">
        <v>49</v>
      </c>
      <c r="G921" s="72" t="s">
        <v>49</v>
      </c>
      <c r="H921" s="47">
        <f>IF('Lançamento Diário'!T51="","",'Lançamento Diário'!T51)</f>
        <v>0</v>
      </c>
    </row>
    <row r="922" spans="2:8" x14ac:dyDescent="0.25">
      <c r="B922" s="71">
        <v>46253</v>
      </c>
      <c r="C922" s="72">
        <v>19</v>
      </c>
      <c r="D922" s="72" t="s">
        <v>100</v>
      </c>
      <c r="E922" s="73" t="s">
        <v>39</v>
      </c>
      <c r="F922" s="73" t="s">
        <v>49</v>
      </c>
      <c r="G922" s="72" t="s">
        <v>49</v>
      </c>
      <c r="H922" s="47">
        <f>IF('Lançamento Diário'!U51="","",'Lançamento Diário'!U51)</f>
        <v>0</v>
      </c>
    </row>
    <row r="923" spans="2:8" x14ac:dyDescent="0.25">
      <c r="B923" s="71">
        <v>46254</v>
      </c>
      <c r="C923" s="72">
        <v>20</v>
      </c>
      <c r="D923" s="72" t="s">
        <v>101</v>
      </c>
      <c r="E923" s="73" t="s">
        <v>39</v>
      </c>
      <c r="F923" s="73" t="s">
        <v>49</v>
      </c>
      <c r="G923" s="72" t="s">
        <v>49</v>
      </c>
      <c r="H923" s="47">
        <f>IF('Lançamento Diário'!V51="","",'Lançamento Diário'!V51)</f>
        <v>0</v>
      </c>
    </row>
    <row r="924" spans="2:8" x14ac:dyDescent="0.25">
      <c r="B924" s="71">
        <v>46255</v>
      </c>
      <c r="C924" s="72">
        <v>21</v>
      </c>
      <c r="D924" s="72" t="s">
        <v>102</v>
      </c>
      <c r="E924" s="73" t="s">
        <v>39</v>
      </c>
      <c r="F924" s="73" t="s">
        <v>49</v>
      </c>
      <c r="G924" s="72" t="s">
        <v>49</v>
      </c>
      <c r="H924" s="47">
        <f>IF('Lançamento Diário'!W51="","",'Lançamento Diário'!W51)</f>
        <v>0</v>
      </c>
    </row>
    <row r="925" spans="2:8" x14ac:dyDescent="0.25">
      <c r="B925" s="71">
        <v>46256</v>
      </c>
      <c r="C925" s="72">
        <v>22</v>
      </c>
      <c r="D925" s="72" t="s">
        <v>96</v>
      </c>
      <c r="E925" s="73" t="s">
        <v>39</v>
      </c>
      <c r="F925" s="73" t="s">
        <v>49</v>
      </c>
      <c r="G925" s="72" t="s">
        <v>49</v>
      </c>
      <c r="H925" s="47">
        <f>IF('Lançamento Diário'!X51="","",'Lançamento Diário'!X51)</f>
        <v>0</v>
      </c>
    </row>
    <row r="926" spans="2:8" x14ac:dyDescent="0.25">
      <c r="B926" s="71">
        <v>46257</v>
      </c>
      <c r="C926" s="72">
        <v>23</v>
      </c>
      <c r="D926" s="72" t="s">
        <v>97</v>
      </c>
      <c r="E926" s="73" t="s">
        <v>39</v>
      </c>
      <c r="F926" s="73" t="s">
        <v>49</v>
      </c>
      <c r="G926" s="72" t="s">
        <v>49</v>
      </c>
      <c r="H926" s="47">
        <f>IF('Lançamento Diário'!Y51="","",'Lançamento Diário'!Y51)</f>
        <v>0</v>
      </c>
    </row>
    <row r="927" spans="2:8" x14ac:dyDescent="0.25">
      <c r="B927" s="71">
        <v>46258</v>
      </c>
      <c r="C927" s="72">
        <v>24</v>
      </c>
      <c r="D927" s="72" t="s">
        <v>98</v>
      </c>
      <c r="E927" s="73" t="s">
        <v>39</v>
      </c>
      <c r="F927" s="73" t="s">
        <v>49</v>
      </c>
      <c r="G927" s="72" t="s">
        <v>49</v>
      </c>
      <c r="H927" s="47">
        <f>IF('Lançamento Diário'!Z51="","",'Lançamento Diário'!Z51)</f>
        <v>0</v>
      </c>
    </row>
    <row r="928" spans="2:8" x14ac:dyDescent="0.25">
      <c r="B928" s="71">
        <v>46259</v>
      </c>
      <c r="C928" s="72">
        <v>25</v>
      </c>
      <c r="D928" s="72" t="s">
        <v>99</v>
      </c>
      <c r="E928" s="73" t="s">
        <v>39</v>
      </c>
      <c r="F928" s="73" t="s">
        <v>49</v>
      </c>
      <c r="G928" s="72" t="s">
        <v>49</v>
      </c>
      <c r="H928" s="47">
        <f>IF('Lançamento Diário'!AA51="","",'Lançamento Diário'!AA51)</f>
        <v>0</v>
      </c>
    </row>
    <row r="929" spans="2:8" x14ac:dyDescent="0.25">
      <c r="B929" s="71">
        <v>46260</v>
      </c>
      <c r="C929" s="72">
        <v>26</v>
      </c>
      <c r="D929" s="72" t="s">
        <v>100</v>
      </c>
      <c r="E929" s="73" t="s">
        <v>39</v>
      </c>
      <c r="F929" s="73" t="s">
        <v>49</v>
      </c>
      <c r="G929" s="72" t="s">
        <v>49</v>
      </c>
      <c r="H929" s="47">
        <f>IF('Lançamento Diário'!AB51="","",'Lançamento Diário'!AB51)</f>
        <v>0</v>
      </c>
    </row>
    <row r="930" spans="2:8" x14ac:dyDescent="0.25">
      <c r="B930" s="71">
        <v>46261</v>
      </c>
      <c r="C930" s="72">
        <v>27</v>
      </c>
      <c r="D930" s="72" t="s">
        <v>101</v>
      </c>
      <c r="E930" s="73" t="s">
        <v>39</v>
      </c>
      <c r="F930" s="73" t="s">
        <v>49</v>
      </c>
      <c r="G930" s="72" t="s">
        <v>49</v>
      </c>
      <c r="H930" s="47">
        <f>IF('Lançamento Diário'!AC51="","",'Lançamento Diário'!AC51)</f>
        <v>0</v>
      </c>
    </row>
    <row r="931" spans="2:8" x14ac:dyDescent="0.25">
      <c r="B931" s="71">
        <v>46262</v>
      </c>
      <c r="C931" s="72">
        <v>28</v>
      </c>
      <c r="D931" s="72" t="s">
        <v>102</v>
      </c>
      <c r="E931" s="73" t="s">
        <v>39</v>
      </c>
      <c r="F931" s="73" t="s">
        <v>49</v>
      </c>
      <c r="G931" s="72" t="s">
        <v>49</v>
      </c>
      <c r="H931" s="47">
        <f>IF('Lançamento Diário'!AD51="","",'Lançamento Diário'!AD51)</f>
        <v>0</v>
      </c>
    </row>
    <row r="932" spans="2:8" x14ac:dyDescent="0.25">
      <c r="B932" s="71">
        <v>46263</v>
      </c>
      <c r="C932" s="72">
        <v>29</v>
      </c>
      <c r="D932" s="72" t="s">
        <v>96</v>
      </c>
      <c r="E932" s="73" t="s">
        <v>39</v>
      </c>
      <c r="F932" s="73" t="s">
        <v>49</v>
      </c>
      <c r="G932" s="72" t="s">
        <v>49</v>
      </c>
      <c r="H932" s="47">
        <f>IF('Lançamento Diário'!AE51="","",'Lançamento Diário'!AE51)</f>
        <v>0</v>
      </c>
    </row>
    <row r="933" spans="2:8" x14ac:dyDescent="0.25">
      <c r="B933" s="71">
        <v>46264</v>
      </c>
      <c r="C933" s="72">
        <v>30</v>
      </c>
      <c r="D933" s="72" t="s">
        <v>97</v>
      </c>
      <c r="E933" s="73" t="s">
        <v>39</v>
      </c>
      <c r="F933" s="73" t="s">
        <v>49</v>
      </c>
      <c r="G933" s="72" t="s">
        <v>49</v>
      </c>
      <c r="H933" s="47" t="str">
        <f>IF('Lançamento Diário'!AF51="","",'Lançamento Diário'!AF51)</f>
        <v/>
      </c>
    </row>
    <row r="934" spans="2:8" x14ac:dyDescent="0.25">
      <c r="B934" s="71">
        <v>46265</v>
      </c>
      <c r="C934" s="72">
        <v>31</v>
      </c>
      <c r="D934" s="72" t="s">
        <v>98</v>
      </c>
      <c r="E934" s="73" t="s">
        <v>39</v>
      </c>
      <c r="F934" s="73" t="s">
        <v>49</v>
      </c>
      <c r="G934" s="72" t="s">
        <v>49</v>
      </c>
      <c r="H934" s="47" t="str">
        <f>IF('Lançamento Diário'!AG51="","",'Lançamento Diário'!AG51)</f>
        <v/>
      </c>
    </row>
  </sheetData>
  <autoFilter ref="B4:H934" xr:uid="{00000000-0009-0000-0000-000005000000}"/>
  <mergeCells count="2">
    <mergeCell ref="B1:H1"/>
    <mergeCell ref="B2:H2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F39"/>
  <sheetViews>
    <sheetView showGridLines="0" topLeftCell="A6" zoomScaleNormal="100" workbookViewId="0">
      <selection activeCell="G7" sqref="G7"/>
    </sheetView>
  </sheetViews>
  <sheetFormatPr defaultColWidth="8.7109375" defaultRowHeight="15" x14ac:dyDescent="0.25"/>
  <cols>
    <col min="1" max="1" width="2" customWidth="1"/>
    <col min="2" max="2" width="40" customWidth="1"/>
    <col min="3" max="3" width="95" customWidth="1"/>
    <col min="4" max="6" width="3" customWidth="1"/>
  </cols>
  <sheetData>
    <row r="1" spans="2:6" ht="30" customHeight="1" x14ac:dyDescent="0.25">
      <c r="B1" s="99" t="s">
        <v>189</v>
      </c>
      <c r="C1" s="99"/>
      <c r="D1" s="99"/>
      <c r="E1" s="99"/>
      <c r="F1" s="99"/>
    </row>
    <row r="2" spans="2:6" ht="15.75" customHeight="1" x14ac:dyDescent="0.25">
      <c r="B2" s="100"/>
      <c r="C2" s="100"/>
      <c r="D2" s="100"/>
      <c r="E2" s="100"/>
      <c r="F2" s="100"/>
    </row>
    <row r="4" spans="2:6" ht="19.5" customHeight="1" x14ac:dyDescent="0.25">
      <c r="B4" s="95" t="s">
        <v>131</v>
      </c>
      <c r="C4" s="95"/>
    </row>
    <row r="5" spans="2:6" ht="30" customHeight="1" x14ac:dyDescent="0.25">
      <c r="B5" s="78" t="s">
        <v>132</v>
      </c>
      <c r="C5" s="79" t="s">
        <v>133</v>
      </c>
    </row>
    <row r="6" spans="2:6" ht="30" customHeight="1" x14ac:dyDescent="0.25">
      <c r="B6" s="78" t="s">
        <v>134</v>
      </c>
      <c r="C6" s="79" t="s">
        <v>135</v>
      </c>
    </row>
    <row r="7" spans="2:6" ht="30" customHeight="1" x14ac:dyDescent="0.25">
      <c r="B7" s="78" t="s">
        <v>136</v>
      </c>
      <c r="C7" s="79" t="s">
        <v>137</v>
      </c>
    </row>
    <row r="8" spans="2:6" ht="30" customHeight="1" x14ac:dyDescent="0.25">
      <c r="B8" s="78" t="s">
        <v>138</v>
      </c>
      <c r="C8" s="79" t="s">
        <v>139</v>
      </c>
    </row>
    <row r="9" spans="2:6" ht="30" customHeight="1" x14ac:dyDescent="0.25">
      <c r="B9" s="78" t="s">
        <v>140</v>
      </c>
      <c r="C9" s="79" t="s">
        <v>141</v>
      </c>
    </row>
    <row r="10" spans="2:6" ht="30" customHeight="1" x14ac:dyDescent="0.25">
      <c r="B10" s="78" t="s">
        <v>142</v>
      </c>
      <c r="C10" s="79" t="s">
        <v>143</v>
      </c>
    </row>
    <row r="11" spans="2:6" ht="30" customHeight="1" x14ac:dyDescent="0.25">
      <c r="B11" s="78" t="s">
        <v>144</v>
      </c>
      <c r="C11" s="79" t="s">
        <v>145</v>
      </c>
    </row>
    <row r="12" spans="2:6" ht="30" customHeight="1" x14ac:dyDescent="0.25">
      <c r="B12" s="78" t="s">
        <v>146</v>
      </c>
      <c r="C12" s="79" t="s">
        <v>147</v>
      </c>
    </row>
    <row r="14" spans="2:6" ht="19.5" customHeight="1" x14ac:dyDescent="0.25">
      <c r="B14" s="95" t="s">
        <v>148</v>
      </c>
      <c r="C14" s="95"/>
    </row>
    <row r="15" spans="2:6" ht="30" customHeight="1" x14ac:dyDescent="0.25">
      <c r="B15" s="78" t="s">
        <v>149</v>
      </c>
      <c r="C15" s="79" t="s">
        <v>150</v>
      </c>
    </row>
    <row r="16" spans="2:6" ht="30" customHeight="1" x14ac:dyDescent="0.25">
      <c r="B16" s="78" t="s">
        <v>85</v>
      </c>
      <c r="C16" s="79" t="s">
        <v>151</v>
      </c>
    </row>
    <row r="17" spans="2:3" ht="30" customHeight="1" x14ac:dyDescent="0.25">
      <c r="B17" s="78" t="s">
        <v>49</v>
      </c>
      <c r="C17" s="79" t="s">
        <v>152</v>
      </c>
    </row>
    <row r="18" spans="2:3" ht="30" customHeight="1" x14ac:dyDescent="0.25">
      <c r="B18" s="78" t="s">
        <v>153</v>
      </c>
      <c r="C18" s="79" t="s">
        <v>154</v>
      </c>
    </row>
    <row r="19" spans="2:3" ht="30" customHeight="1" x14ac:dyDescent="0.25">
      <c r="B19" s="78" t="s">
        <v>155</v>
      </c>
      <c r="C19" s="79" t="s">
        <v>156</v>
      </c>
    </row>
    <row r="20" spans="2:3" ht="30" customHeight="1" x14ac:dyDescent="0.25">
      <c r="B20" s="78" t="s">
        <v>77</v>
      </c>
      <c r="C20" s="79" t="s">
        <v>157</v>
      </c>
    </row>
    <row r="21" spans="2:3" ht="30" customHeight="1" x14ac:dyDescent="0.25">
      <c r="B21" s="78" t="s">
        <v>68</v>
      </c>
      <c r="C21" s="79" t="s">
        <v>158</v>
      </c>
    </row>
    <row r="22" spans="2:3" ht="30" customHeight="1" x14ac:dyDescent="0.25">
      <c r="B22" s="78" t="s">
        <v>159</v>
      </c>
      <c r="C22" s="79" t="s">
        <v>160</v>
      </c>
    </row>
    <row r="24" spans="2:3" ht="19.5" customHeight="1" x14ac:dyDescent="0.25">
      <c r="B24" s="95" t="s">
        <v>161</v>
      </c>
      <c r="C24" s="95"/>
    </row>
    <row r="25" spans="2:3" ht="30" customHeight="1" x14ac:dyDescent="0.25">
      <c r="B25" s="78" t="s">
        <v>162</v>
      </c>
      <c r="C25" s="79" t="s">
        <v>163</v>
      </c>
    </row>
    <row r="26" spans="2:3" ht="30" customHeight="1" x14ac:dyDescent="0.25">
      <c r="B26" s="78" t="s">
        <v>164</v>
      </c>
      <c r="C26" s="79" t="s">
        <v>165</v>
      </c>
    </row>
    <row r="27" spans="2:3" ht="30" customHeight="1" x14ac:dyDescent="0.25">
      <c r="B27" s="78" t="s">
        <v>166</v>
      </c>
      <c r="C27" s="79" t="s">
        <v>167</v>
      </c>
    </row>
    <row r="28" spans="2:3" ht="30" customHeight="1" x14ac:dyDescent="0.25">
      <c r="B28" s="78" t="s">
        <v>168</v>
      </c>
      <c r="C28" s="79" t="s">
        <v>169</v>
      </c>
    </row>
    <row r="29" spans="2:3" ht="30" customHeight="1" x14ac:dyDescent="0.25">
      <c r="B29" s="78" t="s">
        <v>170</v>
      </c>
      <c r="C29" s="79" t="s">
        <v>171</v>
      </c>
    </row>
    <row r="30" spans="2:3" ht="30" customHeight="1" x14ac:dyDescent="0.25">
      <c r="B30" s="78" t="s">
        <v>172</v>
      </c>
      <c r="C30" s="79" t="s">
        <v>173</v>
      </c>
    </row>
    <row r="31" spans="2:3" ht="30" customHeight="1" x14ac:dyDescent="0.25">
      <c r="B31" s="78" t="s">
        <v>174</v>
      </c>
      <c r="C31" s="79" t="s">
        <v>175</v>
      </c>
    </row>
    <row r="32" spans="2:3" ht="30" customHeight="1" x14ac:dyDescent="0.25">
      <c r="B32" s="78" t="s">
        <v>176</v>
      </c>
      <c r="C32" s="79" t="s">
        <v>177</v>
      </c>
    </row>
    <row r="33" spans="2:3" ht="30" customHeight="1" x14ac:dyDescent="0.25">
      <c r="B33" s="78" t="s">
        <v>178</v>
      </c>
      <c r="C33" s="79" t="s">
        <v>179</v>
      </c>
    </row>
    <row r="35" spans="2:3" ht="19.5" customHeight="1" x14ac:dyDescent="0.25">
      <c r="B35" s="95" t="s">
        <v>180</v>
      </c>
      <c r="C35" s="95"/>
    </row>
    <row r="36" spans="2:3" ht="30" customHeight="1" x14ac:dyDescent="0.25">
      <c r="B36" s="78" t="s">
        <v>181</v>
      </c>
      <c r="C36" s="79" t="s">
        <v>182</v>
      </c>
    </row>
    <row r="37" spans="2:3" ht="30" customHeight="1" x14ac:dyDescent="0.25">
      <c r="B37" s="78" t="s">
        <v>183</v>
      </c>
      <c r="C37" s="79" t="s">
        <v>184</v>
      </c>
    </row>
    <row r="38" spans="2:3" ht="30" customHeight="1" x14ac:dyDescent="0.25">
      <c r="B38" s="78" t="s">
        <v>185</v>
      </c>
      <c r="C38" s="79" t="s">
        <v>186</v>
      </c>
    </row>
    <row r="39" spans="2:3" ht="30" customHeight="1" x14ac:dyDescent="0.25">
      <c r="B39" s="78" t="s">
        <v>187</v>
      </c>
      <c r="C39" s="79" t="s">
        <v>188</v>
      </c>
    </row>
  </sheetData>
  <mergeCells count="6">
    <mergeCell ref="B35:C35"/>
    <mergeCell ref="B1:F1"/>
    <mergeCell ref="B2:F2"/>
    <mergeCell ref="B4:C4"/>
    <mergeCell ref="B14:C14"/>
    <mergeCell ref="B24:C24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4</vt:i4>
      </vt:variant>
    </vt:vector>
  </HeadingPairs>
  <TitlesOfParts>
    <vt:vector size="12" baseType="lpstr">
      <vt:lpstr>Dashboard</vt:lpstr>
      <vt:lpstr>Divulgação Diária</vt:lpstr>
      <vt:lpstr>Consolidado</vt:lpstr>
      <vt:lpstr>Totais Diários</vt:lpstr>
      <vt:lpstr>Lançamento Diário</vt:lpstr>
      <vt:lpstr>Frota</vt:lpstr>
      <vt:lpstr>Base de Dados</vt:lpstr>
      <vt:lpstr>Notas e Critérios</vt:lpstr>
      <vt:lpstr>'Divulgação Diária'!Area_de_impressao</vt:lpstr>
      <vt:lpstr>'Base de Dados'!Titulos_de_impressao</vt:lpstr>
      <vt:lpstr>'Lançamento Diário'!Titulos_de_impressao</vt:lpstr>
      <vt:lpstr>'Totais Diários'!Titulos_de_impressao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Saulo do Socorro Silva</cp:lastModifiedBy>
  <cp:revision>1</cp:revision>
  <dcterms:created xsi:type="dcterms:W3CDTF">2026-08-24T15:14:40Z</dcterms:created>
  <dcterms:modified xsi:type="dcterms:W3CDTF">2026-09-01T15:41:03Z</dcterms:modified>
  <dc:language>en-US</dc:language>
</cp:coreProperties>
</file>