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ltsaulo.silva\Documents\Analise de Custos\"/>
    </mc:Choice>
  </mc:AlternateContent>
  <xr:revisionPtr revIDLastSave="0" documentId="13_ncr:1_{9CF48B3F-EF6F-4D8D-A073-E80D6387F8B9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Leia-me" sheetId="1" r:id="rId1"/>
    <sheet name="Base Mai-Ago" sheetId="2" r:id="rId2"/>
    <sheet name="Diagnóstico" sheetId="3" r:id="rId3"/>
    <sheet name="Parâmetros" sheetId="4" r:id="rId4"/>
    <sheet name="Controle Diário" sheetId="5" r:id="rId5"/>
    <sheet name="Painel Diário" sheetId="6" r:id="rId6"/>
    <sheet name="Plano de Ação" sheetId="7" r:id="rId7"/>
  </sheets>
  <definedNames>
    <definedName name="_xlnm._FilterDatabase" localSheetId="4" hidden="1">'Controle Diário'!$B$5:$AE$255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8" i="6" l="1"/>
  <c r="B28" i="6"/>
  <c r="C28" i="6" s="1"/>
  <c r="D27" i="6"/>
  <c r="B27" i="6"/>
  <c r="C27" i="6" s="1"/>
  <c r="D26" i="6"/>
  <c r="B26" i="6"/>
  <c r="C26" i="6" s="1"/>
  <c r="D25" i="6"/>
  <c r="B25" i="6"/>
  <c r="C25" i="6" s="1"/>
  <c r="D24" i="6"/>
  <c r="B24" i="6"/>
  <c r="C24" i="6" s="1"/>
  <c r="D23" i="6"/>
  <c r="B23" i="6"/>
  <c r="C23" i="6" s="1"/>
  <c r="D22" i="6"/>
  <c r="B22" i="6"/>
  <c r="C22" i="6" s="1"/>
  <c r="D21" i="6"/>
  <c r="B21" i="6"/>
  <c r="C21" i="6" s="1"/>
  <c r="D20" i="6"/>
  <c r="B20" i="6"/>
  <c r="C20" i="6" s="1"/>
  <c r="D19" i="6"/>
  <c r="B19" i="6"/>
  <c r="C19" i="6" s="1"/>
  <c r="J13" i="6"/>
  <c r="H13" i="6"/>
  <c r="E13" i="6"/>
  <c r="J12" i="6"/>
  <c r="H12" i="6"/>
  <c r="E12" i="6"/>
  <c r="J11" i="6"/>
  <c r="H11" i="6"/>
  <c r="E11" i="6"/>
  <c r="J10" i="6"/>
  <c r="H10" i="6"/>
  <c r="E10" i="6"/>
  <c r="J9" i="6"/>
  <c r="H9" i="6"/>
  <c r="E9" i="6"/>
  <c r="J8" i="6"/>
  <c r="H8" i="6"/>
  <c r="E8" i="6"/>
  <c r="C5" i="6"/>
  <c r="C4" i="6"/>
  <c r="AE255" i="5"/>
  <c r="AD255" i="5"/>
  <c r="AC255" i="5"/>
  <c r="AB255" i="5"/>
  <c r="AA255" i="5"/>
  <c r="Z255" i="5"/>
  <c r="Y255" i="5"/>
  <c r="X255" i="5"/>
  <c r="K255" i="5"/>
  <c r="J255" i="5"/>
  <c r="I255" i="5"/>
  <c r="AE254" i="5"/>
  <c r="AD254" i="5"/>
  <c r="AC254" i="5"/>
  <c r="AB254" i="5"/>
  <c r="AA254" i="5"/>
  <c r="Z254" i="5"/>
  <c r="Y254" i="5"/>
  <c r="X254" i="5"/>
  <c r="K254" i="5"/>
  <c r="J254" i="5"/>
  <c r="I254" i="5"/>
  <c r="AE253" i="5"/>
  <c r="AD253" i="5"/>
  <c r="AC253" i="5"/>
  <c r="AB253" i="5"/>
  <c r="AA253" i="5"/>
  <c r="Z253" i="5"/>
  <c r="Y253" i="5"/>
  <c r="X253" i="5"/>
  <c r="K253" i="5"/>
  <c r="J253" i="5"/>
  <c r="I253" i="5"/>
  <c r="AE252" i="5"/>
  <c r="AD252" i="5"/>
  <c r="AC252" i="5"/>
  <c r="AB252" i="5"/>
  <c r="AA252" i="5"/>
  <c r="Z252" i="5"/>
  <c r="Y252" i="5"/>
  <c r="X252" i="5"/>
  <c r="K252" i="5"/>
  <c r="J252" i="5"/>
  <c r="I252" i="5"/>
  <c r="AE251" i="5"/>
  <c r="AD251" i="5"/>
  <c r="AC251" i="5"/>
  <c r="AB251" i="5"/>
  <c r="AA251" i="5"/>
  <c r="Z251" i="5"/>
  <c r="Y251" i="5"/>
  <c r="X251" i="5"/>
  <c r="K251" i="5"/>
  <c r="J251" i="5"/>
  <c r="I251" i="5"/>
  <c r="AE250" i="5"/>
  <c r="AD250" i="5"/>
  <c r="AC250" i="5"/>
  <c r="AB250" i="5"/>
  <c r="AA250" i="5"/>
  <c r="Z250" i="5"/>
  <c r="Y250" i="5"/>
  <c r="X250" i="5"/>
  <c r="K250" i="5"/>
  <c r="J250" i="5"/>
  <c r="I250" i="5"/>
  <c r="AE249" i="5"/>
  <c r="AD249" i="5"/>
  <c r="AC249" i="5"/>
  <c r="AB249" i="5"/>
  <c r="AA249" i="5"/>
  <c r="Z249" i="5"/>
  <c r="Y249" i="5"/>
  <c r="X249" i="5"/>
  <c r="K249" i="5"/>
  <c r="J249" i="5"/>
  <c r="I249" i="5"/>
  <c r="AE248" i="5"/>
  <c r="AD248" i="5"/>
  <c r="AC248" i="5"/>
  <c r="AB248" i="5"/>
  <c r="AA248" i="5"/>
  <c r="Z248" i="5"/>
  <c r="Y248" i="5"/>
  <c r="X248" i="5"/>
  <c r="K248" i="5"/>
  <c r="J248" i="5"/>
  <c r="I248" i="5"/>
  <c r="AE247" i="5"/>
  <c r="AD247" i="5"/>
  <c r="AC247" i="5"/>
  <c r="AB247" i="5"/>
  <c r="AA247" i="5"/>
  <c r="Z247" i="5"/>
  <c r="Y247" i="5"/>
  <c r="X247" i="5"/>
  <c r="K247" i="5"/>
  <c r="J247" i="5"/>
  <c r="I247" i="5"/>
  <c r="AE246" i="5"/>
  <c r="AD246" i="5"/>
  <c r="AC246" i="5"/>
  <c r="AB246" i="5"/>
  <c r="AA246" i="5"/>
  <c r="Z246" i="5"/>
  <c r="Y246" i="5"/>
  <c r="X246" i="5"/>
  <c r="K246" i="5"/>
  <c r="J246" i="5"/>
  <c r="I246" i="5"/>
  <c r="AE245" i="5"/>
  <c r="AD245" i="5"/>
  <c r="AC245" i="5"/>
  <c r="AB245" i="5"/>
  <c r="AA245" i="5"/>
  <c r="Z245" i="5"/>
  <c r="Y245" i="5"/>
  <c r="X245" i="5"/>
  <c r="K245" i="5"/>
  <c r="J245" i="5"/>
  <c r="I245" i="5"/>
  <c r="AE244" i="5"/>
  <c r="AD244" i="5"/>
  <c r="AC244" i="5"/>
  <c r="AB244" i="5"/>
  <c r="AA244" i="5"/>
  <c r="Z244" i="5"/>
  <c r="Y244" i="5"/>
  <c r="X244" i="5"/>
  <c r="K244" i="5"/>
  <c r="J244" i="5"/>
  <c r="I244" i="5"/>
  <c r="AE243" i="5"/>
  <c r="AD243" i="5"/>
  <c r="AC243" i="5"/>
  <c r="AB243" i="5"/>
  <c r="AA243" i="5"/>
  <c r="Z243" i="5"/>
  <c r="Y243" i="5"/>
  <c r="X243" i="5"/>
  <c r="K243" i="5"/>
  <c r="J243" i="5"/>
  <c r="I243" i="5"/>
  <c r="AE242" i="5"/>
  <c r="AD242" i="5"/>
  <c r="AC242" i="5"/>
  <c r="AB242" i="5"/>
  <c r="AA242" i="5"/>
  <c r="Z242" i="5"/>
  <c r="Y242" i="5"/>
  <c r="X242" i="5"/>
  <c r="K242" i="5"/>
  <c r="J242" i="5"/>
  <c r="I242" i="5"/>
  <c r="AE241" i="5"/>
  <c r="AD241" i="5"/>
  <c r="AC241" i="5"/>
  <c r="AB241" i="5"/>
  <c r="AA241" i="5"/>
  <c r="Z241" i="5"/>
  <c r="Y241" i="5"/>
  <c r="X241" i="5"/>
  <c r="K241" i="5"/>
  <c r="J241" i="5"/>
  <c r="I241" i="5"/>
  <c r="AE240" i="5"/>
  <c r="AD240" i="5"/>
  <c r="AC240" i="5"/>
  <c r="AB240" i="5"/>
  <c r="AA240" i="5"/>
  <c r="Z240" i="5"/>
  <c r="Y240" i="5"/>
  <c r="X240" i="5"/>
  <c r="K240" i="5"/>
  <c r="J240" i="5"/>
  <c r="I240" i="5"/>
  <c r="AE239" i="5"/>
  <c r="AD239" i="5"/>
  <c r="AC239" i="5"/>
  <c r="AB239" i="5"/>
  <c r="AA239" i="5"/>
  <c r="Z239" i="5"/>
  <c r="Y239" i="5"/>
  <c r="X239" i="5"/>
  <c r="K239" i="5"/>
  <c r="J239" i="5"/>
  <c r="I239" i="5"/>
  <c r="AE238" i="5"/>
  <c r="AD238" i="5"/>
  <c r="AC238" i="5"/>
  <c r="AB238" i="5"/>
  <c r="AA238" i="5"/>
  <c r="Z238" i="5"/>
  <c r="Y238" i="5"/>
  <c r="X238" i="5"/>
  <c r="K238" i="5"/>
  <c r="J238" i="5"/>
  <c r="I238" i="5"/>
  <c r="AE237" i="5"/>
  <c r="AD237" i="5"/>
  <c r="AC237" i="5"/>
  <c r="AB237" i="5"/>
  <c r="AA237" i="5"/>
  <c r="Z237" i="5"/>
  <c r="Y237" i="5"/>
  <c r="X237" i="5"/>
  <c r="K237" i="5"/>
  <c r="J237" i="5"/>
  <c r="I237" i="5"/>
  <c r="AE236" i="5"/>
  <c r="AD236" i="5"/>
  <c r="AC236" i="5"/>
  <c r="AB236" i="5"/>
  <c r="AA236" i="5"/>
  <c r="Z236" i="5"/>
  <c r="Y236" i="5"/>
  <c r="X236" i="5"/>
  <c r="K236" i="5"/>
  <c r="J236" i="5"/>
  <c r="I236" i="5"/>
  <c r="AE235" i="5"/>
  <c r="AD235" i="5"/>
  <c r="AC235" i="5"/>
  <c r="AB235" i="5"/>
  <c r="AA235" i="5"/>
  <c r="Z235" i="5"/>
  <c r="Y235" i="5"/>
  <c r="X235" i="5"/>
  <c r="K235" i="5"/>
  <c r="J235" i="5"/>
  <c r="I235" i="5"/>
  <c r="AE234" i="5"/>
  <c r="AD234" i="5"/>
  <c r="AC234" i="5"/>
  <c r="AB234" i="5"/>
  <c r="AA234" i="5"/>
  <c r="Z234" i="5"/>
  <c r="Y234" i="5"/>
  <c r="X234" i="5"/>
  <c r="K234" i="5"/>
  <c r="J234" i="5"/>
  <c r="I234" i="5"/>
  <c r="AE233" i="5"/>
  <c r="AD233" i="5"/>
  <c r="AC233" i="5"/>
  <c r="AB233" i="5"/>
  <c r="AA233" i="5"/>
  <c r="Z233" i="5"/>
  <c r="Y233" i="5"/>
  <c r="X233" i="5"/>
  <c r="K233" i="5"/>
  <c r="J233" i="5"/>
  <c r="I233" i="5"/>
  <c r="AE232" i="5"/>
  <c r="AD232" i="5"/>
  <c r="AC232" i="5"/>
  <c r="AB232" i="5"/>
  <c r="AA232" i="5"/>
  <c r="Z232" i="5"/>
  <c r="Y232" i="5"/>
  <c r="X232" i="5"/>
  <c r="K232" i="5"/>
  <c r="J232" i="5"/>
  <c r="I232" i="5"/>
  <c r="AE231" i="5"/>
  <c r="AD231" i="5"/>
  <c r="AC231" i="5"/>
  <c r="AB231" i="5"/>
  <c r="AA231" i="5"/>
  <c r="Z231" i="5"/>
  <c r="Y231" i="5"/>
  <c r="X231" i="5"/>
  <c r="K231" i="5"/>
  <c r="J231" i="5"/>
  <c r="I231" i="5"/>
  <c r="AE230" i="5"/>
  <c r="AD230" i="5"/>
  <c r="AC230" i="5"/>
  <c r="AB230" i="5"/>
  <c r="AA230" i="5"/>
  <c r="Z230" i="5"/>
  <c r="Y230" i="5"/>
  <c r="X230" i="5"/>
  <c r="K230" i="5"/>
  <c r="J230" i="5"/>
  <c r="I230" i="5"/>
  <c r="AE229" i="5"/>
  <c r="AD229" i="5"/>
  <c r="AC229" i="5"/>
  <c r="AB229" i="5"/>
  <c r="AA229" i="5"/>
  <c r="Z229" i="5"/>
  <c r="Y229" i="5"/>
  <c r="X229" i="5"/>
  <c r="K229" i="5"/>
  <c r="J229" i="5"/>
  <c r="I229" i="5"/>
  <c r="AE228" i="5"/>
  <c r="AD228" i="5"/>
  <c r="AC228" i="5"/>
  <c r="AB228" i="5"/>
  <c r="AA228" i="5"/>
  <c r="Z228" i="5"/>
  <c r="Y228" i="5"/>
  <c r="X228" i="5"/>
  <c r="K228" i="5"/>
  <c r="J228" i="5"/>
  <c r="I228" i="5"/>
  <c r="AE227" i="5"/>
  <c r="AD227" i="5"/>
  <c r="AC227" i="5"/>
  <c r="AB227" i="5"/>
  <c r="AA227" i="5"/>
  <c r="Z227" i="5"/>
  <c r="Y227" i="5"/>
  <c r="X227" i="5"/>
  <c r="K227" i="5"/>
  <c r="J227" i="5"/>
  <c r="I227" i="5"/>
  <c r="AE226" i="5"/>
  <c r="AD226" i="5"/>
  <c r="AC226" i="5"/>
  <c r="AB226" i="5"/>
  <c r="AA226" i="5"/>
  <c r="Z226" i="5"/>
  <c r="Y226" i="5"/>
  <c r="X226" i="5"/>
  <c r="K226" i="5"/>
  <c r="J226" i="5"/>
  <c r="I226" i="5"/>
  <c r="AE225" i="5"/>
  <c r="AD225" i="5"/>
  <c r="AC225" i="5"/>
  <c r="AB225" i="5"/>
  <c r="AA225" i="5"/>
  <c r="Z225" i="5"/>
  <c r="Y225" i="5"/>
  <c r="X225" i="5"/>
  <c r="K225" i="5"/>
  <c r="J225" i="5"/>
  <c r="I225" i="5"/>
  <c r="AE224" i="5"/>
  <c r="AD224" i="5"/>
  <c r="AC224" i="5"/>
  <c r="AB224" i="5"/>
  <c r="AA224" i="5"/>
  <c r="Z224" i="5"/>
  <c r="Y224" i="5"/>
  <c r="X224" i="5"/>
  <c r="K224" i="5"/>
  <c r="J224" i="5"/>
  <c r="I224" i="5"/>
  <c r="AE223" i="5"/>
  <c r="AD223" i="5"/>
  <c r="AC223" i="5"/>
  <c r="AB223" i="5"/>
  <c r="AA223" i="5"/>
  <c r="Z223" i="5"/>
  <c r="Y223" i="5"/>
  <c r="X223" i="5"/>
  <c r="K223" i="5"/>
  <c r="J223" i="5"/>
  <c r="I223" i="5"/>
  <c r="AE222" i="5"/>
  <c r="AD222" i="5"/>
  <c r="AC222" i="5"/>
  <c r="AB222" i="5"/>
  <c r="AA222" i="5"/>
  <c r="Z222" i="5"/>
  <c r="Y222" i="5"/>
  <c r="X222" i="5"/>
  <c r="K222" i="5"/>
  <c r="J222" i="5"/>
  <c r="I222" i="5"/>
  <c r="AE221" i="5"/>
  <c r="AD221" i="5"/>
  <c r="AC221" i="5"/>
  <c r="AB221" i="5"/>
  <c r="AA221" i="5"/>
  <c r="Z221" i="5"/>
  <c r="Y221" i="5"/>
  <c r="X221" i="5"/>
  <c r="K221" i="5"/>
  <c r="J221" i="5"/>
  <c r="I221" i="5"/>
  <c r="AE220" i="5"/>
  <c r="AD220" i="5"/>
  <c r="AC220" i="5"/>
  <c r="AB220" i="5"/>
  <c r="AA220" i="5"/>
  <c r="Z220" i="5"/>
  <c r="Y220" i="5"/>
  <c r="X220" i="5"/>
  <c r="K220" i="5"/>
  <c r="J220" i="5"/>
  <c r="I220" i="5"/>
  <c r="AE219" i="5"/>
  <c r="AD219" i="5"/>
  <c r="AC219" i="5"/>
  <c r="AB219" i="5"/>
  <c r="AA219" i="5"/>
  <c r="Z219" i="5"/>
  <c r="Y219" i="5"/>
  <c r="X219" i="5"/>
  <c r="K219" i="5"/>
  <c r="J219" i="5"/>
  <c r="I219" i="5"/>
  <c r="AE218" i="5"/>
  <c r="AD218" i="5"/>
  <c r="AC218" i="5"/>
  <c r="AB218" i="5"/>
  <c r="AA218" i="5"/>
  <c r="Z218" i="5"/>
  <c r="Y218" i="5"/>
  <c r="X218" i="5"/>
  <c r="K218" i="5"/>
  <c r="J218" i="5"/>
  <c r="I218" i="5"/>
  <c r="AE217" i="5"/>
  <c r="AD217" i="5"/>
  <c r="AC217" i="5"/>
  <c r="AB217" i="5"/>
  <c r="AA217" i="5"/>
  <c r="Z217" i="5"/>
  <c r="Y217" i="5"/>
  <c r="X217" i="5"/>
  <c r="K217" i="5"/>
  <c r="J217" i="5"/>
  <c r="I217" i="5"/>
  <c r="AE216" i="5"/>
  <c r="AD216" i="5"/>
  <c r="AC216" i="5"/>
  <c r="AB216" i="5"/>
  <c r="AA216" i="5"/>
  <c r="Z216" i="5"/>
  <c r="Y216" i="5"/>
  <c r="X216" i="5"/>
  <c r="K216" i="5"/>
  <c r="J216" i="5"/>
  <c r="I216" i="5"/>
  <c r="AE215" i="5"/>
  <c r="AD215" i="5"/>
  <c r="AC215" i="5"/>
  <c r="AB215" i="5"/>
  <c r="AA215" i="5"/>
  <c r="Z215" i="5"/>
  <c r="Y215" i="5"/>
  <c r="X215" i="5"/>
  <c r="K215" i="5"/>
  <c r="J215" i="5"/>
  <c r="I215" i="5"/>
  <c r="AE214" i="5"/>
  <c r="AD214" i="5"/>
  <c r="AC214" i="5"/>
  <c r="AB214" i="5"/>
  <c r="AA214" i="5"/>
  <c r="Z214" i="5"/>
  <c r="Y214" i="5"/>
  <c r="X214" i="5"/>
  <c r="K214" i="5"/>
  <c r="J214" i="5"/>
  <c r="I214" i="5"/>
  <c r="AE213" i="5"/>
  <c r="AD213" i="5"/>
  <c r="AC213" i="5"/>
  <c r="AB213" i="5"/>
  <c r="AA213" i="5"/>
  <c r="Z213" i="5"/>
  <c r="Y213" i="5"/>
  <c r="X213" i="5"/>
  <c r="K213" i="5"/>
  <c r="J213" i="5"/>
  <c r="I213" i="5"/>
  <c r="AE212" i="5"/>
  <c r="AD212" i="5"/>
  <c r="AC212" i="5"/>
  <c r="AB212" i="5"/>
  <c r="AA212" i="5"/>
  <c r="Z212" i="5"/>
  <c r="Y212" i="5"/>
  <c r="X212" i="5"/>
  <c r="K212" i="5"/>
  <c r="J212" i="5"/>
  <c r="I212" i="5"/>
  <c r="AE211" i="5"/>
  <c r="AD211" i="5"/>
  <c r="AC211" i="5"/>
  <c r="AB211" i="5"/>
  <c r="AA211" i="5"/>
  <c r="Z211" i="5"/>
  <c r="Y211" i="5"/>
  <c r="X211" i="5"/>
  <c r="K211" i="5"/>
  <c r="J211" i="5"/>
  <c r="I211" i="5"/>
  <c r="AE210" i="5"/>
  <c r="AD210" i="5"/>
  <c r="AC210" i="5"/>
  <c r="AB210" i="5"/>
  <c r="AA210" i="5"/>
  <c r="Z210" i="5"/>
  <c r="Y210" i="5"/>
  <c r="X210" i="5"/>
  <c r="K210" i="5"/>
  <c r="J210" i="5"/>
  <c r="I210" i="5"/>
  <c r="AE209" i="5"/>
  <c r="AD209" i="5"/>
  <c r="AC209" i="5"/>
  <c r="AB209" i="5"/>
  <c r="AA209" i="5"/>
  <c r="Z209" i="5"/>
  <c r="Y209" i="5"/>
  <c r="X209" i="5"/>
  <c r="K209" i="5"/>
  <c r="J209" i="5"/>
  <c r="I209" i="5"/>
  <c r="AE208" i="5"/>
  <c r="AD208" i="5"/>
  <c r="AC208" i="5"/>
  <c r="AB208" i="5"/>
  <c r="AA208" i="5"/>
  <c r="Z208" i="5"/>
  <c r="Y208" i="5"/>
  <c r="X208" i="5"/>
  <c r="K208" i="5"/>
  <c r="J208" i="5"/>
  <c r="I208" i="5"/>
  <c r="AE207" i="5"/>
  <c r="AD207" i="5"/>
  <c r="AC207" i="5"/>
  <c r="AB207" i="5"/>
  <c r="AA207" i="5"/>
  <c r="Z207" i="5"/>
  <c r="Y207" i="5"/>
  <c r="X207" i="5"/>
  <c r="K207" i="5"/>
  <c r="J207" i="5"/>
  <c r="I207" i="5"/>
  <c r="AE206" i="5"/>
  <c r="AD206" i="5"/>
  <c r="AC206" i="5"/>
  <c r="AB206" i="5"/>
  <c r="AA206" i="5"/>
  <c r="Z206" i="5"/>
  <c r="Y206" i="5"/>
  <c r="X206" i="5"/>
  <c r="K206" i="5"/>
  <c r="J206" i="5"/>
  <c r="I206" i="5"/>
  <c r="AE205" i="5"/>
  <c r="AD205" i="5"/>
  <c r="AC205" i="5"/>
  <c r="AB205" i="5"/>
  <c r="AA205" i="5"/>
  <c r="Z205" i="5"/>
  <c r="Y205" i="5"/>
  <c r="X205" i="5"/>
  <c r="K205" i="5"/>
  <c r="J205" i="5"/>
  <c r="I205" i="5"/>
  <c r="AE204" i="5"/>
  <c r="AD204" i="5"/>
  <c r="AC204" i="5"/>
  <c r="AB204" i="5"/>
  <c r="AA204" i="5"/>
  <c r="Z204" i="5"/>
  <c r="Y204" i="5"/>
  <c r="X204" i="5"/>
  <c r="K204" i="5"/>
  <c r="J204" i="5"/>
  <c r="I204" i="5"/>
  <c r="AE203" i="5"/>
  <c r="AD203" i="5"/>
  <c r="AC203" i="5"/>
  <c r="AB203" i="5"/>
  <c r="AA203" i="5"/>
  <c r="Z203" i="5"/>
  <c r="Y203" i="5"/>
  <c r="X203" i="5"/>
  <c r="K203" i="5"/>
  <c r="J203" i="5"/>
  <c r="I203" i="5"/>
  <c r="AE202" i="5"/>
  <c r="AD202" i="5"/>
  <c r="AC202" i="5"/>
  <c r="AB202" i="5"/>
  <c r="AA202" i="5"/>
  <c r="Z202" i="5"/>
  <c r="Y202" i="5"/>
  <c r="X202" i="5"/>
  <c r="K202" i="5"/>
  <c r="J202" i="5"/>
  <c r="I202" i="5"/>
  <c r="AE201" i="5"/>
  <c r="AD201" i="5"/>
  <c r="AC201" i="5"/>
  <c r="AB201" i="5"/>
  <c r="AA201" i="5"/>
  <c r="Z201" i="5"/>
  <c r="Y201" i="5"/>
  <c r="X201" i="5"/>
  <c r="K201" i="5"/>
  <c r="J201" i="5"/>
  <c r="I201" i="5"/>
  <c r="AE200" i="5"/>
  <c r="AD200" i="5"/>
  <c r="AC200" i="5"/>
  <c r="AB200" i="5"/>
  <c r="AA200" i="5"/>
  <c r="Z200" i="5"/>
  <c r="Y200" i="5"/>
  <c r="X200" i="5"/>
  <c r="K200" i="5"/>
  <c r="J200" i="5"/>
  <c r="I200" i="5"/>
  <c r="AE199" i="5"/>
  <c r="AD199" i="5"/>
  <c r="AC199" i="5"/>
  <c r="AB199" i="5"/>
  <c r="AA199" i="5"/>
  <c r="Z199" i="5"/>
  <c r="Y199" i="5"/>
  <c r="X199" i="5"/>
  <c r="K199" i="5"/>
  <c r="J199" i="5"/>
  <c r="I199" i="5"/>
  <c r="AE198" i="5"/>
  <c r="AD198" i="5"/>
  <c r="AC198" i="5"/>
  <c r="AB198" i="5"/>
  <c r="AA198" i="5"/>
  <c r="Z198" i="5"/>
  <c r="Y198" i="5"/>
  <c r="X198" i="5"/>
  <c r="K198" i="5"/>
  <c r="J198" i="5"/>
  <c r="I198" i="5"/>
  <c r="AE197" i="5"/>
  <c r="AD197" i="5"/>
  <c r="AC197" i="5"/>
  <c r="AB197" i="5"/>
  <c r="AA197" i="5"/>
  <c r="Z197" i="5"/>
  <c r="Y197" i="5"/>
  <c r="X197" i="5"/>
  <c r="K197" i="5"/>
  <c r="J197" i="5"/>
  <c r="I197" i="5"/>
  <c r="AE196" i="5"/>
  <c r="AD196" i="5"/>
  <c r="AC196" i="5"/>
  <c r="AB196" i="5"/>
  <c r="AA196" i="5"/>
  <c r="Z196" i="5"/>
  <c r="Y196" i="5"/>
  <c r="X196" i="5"/>
  <c r="K196" i="5"/>
  <c r="J196" i="5"/>
  <c r="I196" i="5"/>
  <c r="AE195" i="5"/>
  <c r="AD195" i="5"/>
  <c r="AC195" i="5"/>
  <c r="AB195" i="5"/>
  <c r="AA195" i="5"/>
  <c r="Z195" i="5"/>
  <c r="Y195" i="5"/>
  <c r="X195" i="5"/>
  <c r="K195" i="5"/>
  <c r="J195" i="5"/>
  <c r="I195" i="5"/>
  <c r="AE194" i="5"/>
  <c r="AD194" i="5"/>
  <c r="AC194" i="5"/>
  <c r="AB194" i="5"/>
  <c r="AA194" i="5"/>
  <c r="Z194" i="5"/>
  <c r="Y194" i="5"/>
  <c r="X194" i="5"/>
  <c r="K194" i="5"/>
  <c r="J194" i="5"/>
  <c r="I194" i="5"/>
  <c r="AE193" i="5"/>
  <c r="AD193" i="5"/>
  <c r="AC193" i="5"/>
  <c r="AB193" i="5"/>
  <c r="AA193" i="5"/>
  <c r="Z193" i="5"/>
  <c r="Y193" i="5"/>
  <c r="X193" i="5"/>
  <c r="K193" i="5"/>
  <c r="J193" i="5"/>
  <c r="I193" i="5"/>
  <c r="AE192" i="5"/>
  <c r="AD192" i="5"/>
  <c r="AC192" i="5"/>
  <c r="AB192" i="5"/>
  <c r="AA192" i="5"/>
  <c r="Z192" i="5"/>
  <c r="Y192" i="5"/>
  <c r="X192" i="5"/>
  <c r="K192" i="5"/>
  <c r="J192" i="5"/>
  <c r="I192" i="5"/>
  <c r="AE191" i="5"/>
  <c r="AD191" i="5"/>
  <c r="AC191" i="5"/>
  <c r="AB191" i="5"/>
  <c r="AA191" i="5"/>
  <c r="Z191" i="5"/>
  <c r="Y191" i="5"/>
  <c r="X191" i="5"/>
  <c r="K191" i="5"/>
  <c r="J191" i="5"/>
  <c r="I191" i="5"/>
  <c r="AE190" i="5"/>
  <c r="AD190" i="5"/>
  <c r="AC190" i="5"/>
  <c r="AB190" i="5"/>
  <c r="AA190" i="5"/>
  <c r="Z190" i="5"/>
  <c r="Y190" i="5"/>
  <c r="X190" i="5"/>
  <c r="K190" i="5"/>
  <c r="J190" i="5"/>
  <c r="I190" i="5"/>
  <c r="AE189" i="5"/>
  <c r="AD189" i="5"/>
  <c r="AC189" i="5"/>
  <c r="AB189" i="5"/>
  <c r="AA189" i="5"/>
  <c r="Z189" i="5"/>
  <c r="Y189" i="5"/>
  <c r="X189" i="5"/>
  <c r="K189" i="5"/>
  <c r="J189" i="5"/>
  <c r="I189" i="5"/>
  <c r="AE188" i="5"/>
  <c r="AD188" i="5"/>
  <c r="AC188" i="5"/>
  <c r="AB188" i="5"/>
  <c r="AA188" i="5"/>
  <c r="Z188" i="5"/>
  <c r="Y188" i="5"/>
  <c r="X188" i="5"/>
  <c r="K188" i="5"/>
  <c r="J188" i="5"/>
  <c r="I188" i="5"/>
  <c r="AE187" i="5"/>
  <c r="AD187" i="5"/>
  <c r="AC187" i="5"/>
  <c r="AB187" i="5"/>
  <c r="AA187" i="5"/>
  <c r="Z187" i="5"/>
  <c r="Y187" i="5"/>
  <c r="X187" i="5"/>
  <c r="K187" i="5"/>
  <c r="J187" i="5"/>
  <c r="I187" i="5"/>
  <c r="AE186" i="5"/>
  <c r="AD186" i="5"/>
  <c r="AC186" i="5"/>
  <c r="AB186" i="5"/>
  <c r="AA186" i="5"/>
  <c r="Z186" i="5"/>
  <c r="Y186" i="5"/>
  <c r="X186" i="5"/>
  <c r="K186" i="5"/>
  <c r="J186" i="5"/>
  <c r="I186" i="5"/>
  <c r="AE185" i="5"/>
  <c r="AD185" i="5"/>
  <c r="AC185" i="5"/>
  <c r="AB185" i="5"/>
  <c r="AA185" i="5"/>
  <c r="Z185" i="5"/>
  <c r="Y185" i="5"/>
  <c r="X185" i="5"/>
  <c r="K185" i="5"/>
  <c r="J185" i="5"/>
  <c r="I185" i="5"/>
  <c r="AE184" i="5"/>
  <c r="AD184" i="5"/>
  <c r="AC184" i="5"/>
  <c r="AB184" i="5"/>
  <c r="AA184" i="5"/>
  <c r="Z184" i="5"/>
  <c r="Y184" i="5"/>
  <c r="X184" i="5"/>
  <c r="K184" i="5"/>
  <c r="J184" i="5"/>
  <c r="I184" i="5"/>
  <c r="AE183" i="5"/>
  <c r="AD183" i="5"/>
  <c r="AC183" i="5"/>
  <c r="AB183" i="5"/>
  <c r="AA183" i="5"/>
  <c r="Z183" i="5"/>
  <c r="Y183" i="5"/>
  <c r="X183" i="5"/>
  <c r="K183" i="5"/>
  <c r="J183" i="5"/>
  <c r="I183" i="5"/>
  <c r="AE182" i="5"/>
  <c r="AD182" i="5"/>
  <c r="AC182" i="5"/>
  <c r="AB182" i="5"/>
  <c r="AA182" i="5"/>
  <c r="Z182" i="5"/>
  <c r="Y182" i="5"/>
  <c r="X182" i="5"/>
  <c r="K182" i="5"/>
  <c r="J182" i="5"/>
  <c r="I182" i="5"/>
  <c r="AE181" i="5"/>
  <c r="AD181" i="5"/>
  <c r="AC181" i="5"/>
  <c r="AB181" i="5"/>
  <c r="AA181" i="5"/>
  <c r="Z181" i="5"/>
  <c r="Y181" i="5"/>
  <c r="X181" i="5"/>
  <c r="K181" i="5"/>
  <c r="J181" i="5"/>
  <c r="I181" i="5"/>
  <c r="AE180" i="5"/>
  <c r="AD180" i="5"/>
  <c r="AC180" i="5"/>
  <c r="AB180" i="5"/>
  <c r="AA180" i="5"/>
  <c r="Z180" i="5"/>
  <c r="Y180" i="5"/>
  <c r="X180" i="5"/>
  <c r="K180" i="5"/>
  <c r="J180" i="5"/>
  <c r="I180" i="5"/>
  <c r="AE179" i="5"/>
  <c r="AD179" i="5"/>
  <c r="AC179" i="5"/>
  <c r="AB179" i="5"/>
  <c r="AA179" i="5"/>
  <c r="Z179" i="5"/>
  <c r="Y179" i="5"/>
  <c r="X179" i="5"/>
  <c r="K179" i="5"/>
  <c r="J179" i="5"/>
  <c r="I179" i="5"/>
  <c r="AE178" i="5"/>
  <c r="AD178" i="5"/>
  <c r="AC178" i="5"/>
  <c r="AB178" i="5"/>
  <c r="AA178" i="5"/>
  <c r="Z178" i="5"/>
  <c r="Y178" i="5"/>
  <c r="X178" i="5"/>
  <c r="K178" i="5"/>
  <c r="J178" i="5"/>
  <c r="I178" i="5"/>
  <c r="AE177" i="5"/>
  <c r="AD177" i="5"/>
  <c r="AC177" i="5"/>
  <c r="AB177" i="5"/>
  <c r="AA177" i="5"/>
  <c r="Z177" i="5"/>
  <c r="Y177" i="5"/>
  <c r="X177" i="5"/>
  <c r="K177" i="5"/>
  <c r="J177" i="5"/>
  <c r="I177" i="5"/>
  <c r="AE176" i="5"/>
  <c r="AD176" i="5"/>
  <c r="AC176" i="5"/>
  <c r="AB176" i="5"/>
  <c r="AA176" i="5"/>
  <c r="Z176" i="5"/>
  <c r="Y176" i="5"/>
  <c r="X176" i="5"/>
  <c r="K176" i="5"/>
  <c r="J176" i="5"/>
  <c r="I176" i="5"/>
  <c r="AE175" i="5"/>
  <c r="AD175" i="5"/>
  <c r="AC175" i="5"/>
  <c r="AB175" i="5"/>
  <c r="AA175" i="5"/>
  <c r="Z175" i="5"/>
  <c r="Y175" i="5"/>
  <c r="X175" i="5"/>
  <c r="K175" i="5"/>
  <c r="J175" i="5"/>
  <c r="I175" i="5"/>
  <c r="AE174" i="5"/>
  <c r="AD174" i="5"/>
  <c r="AC174" i="5"/>
  <c r="AB174" i="5"/>
  <c r="AA174" i="5"/>
  <c r="Z174" i="5"/>
  <c r="Y174" i="5"/>
  <c r="X174" i="5"/>
  <c r="K174" i="5"/>
  <c r="J174" i="5"/>
  <c r="I174" i="5"/>
  <c r="AE173" i="5"/>
  <c r="AD173" i="5"/>
  <c r="AC173" i="5"/>
  <c r="AB173" i="5"/>
  <c r="AA173" i="5"/>
  <c r="Z173" i="5"/>
  <c r="Y173" i="5"/>
  <c r="X173" i="5"/>
  <c r="K173" i="5"/>
  <c r="J173" i="5"/>
  <c r="I173" i="5"/>
  <c r="AE172" i="5"/>
  <c r="AD172" i="5"/>
  <c r="AC172" i="5"/>
  <c r="AB172" i="5"/>
  <c r="AA172" i="5"/>
  <c r="Z172" i="5"/>
  <c r="Y172" i="5"/>
  <c r="X172" i="5"/>
  <c r="K172" i="5"/>
  <c r="J172" i="5"/>
  <c r="I172" i="5"/>
  <c r="AE171" i="5"/>
  <c r="AD171" i="5"/>
  <c r="AC171" i="5"/>
  <c r="AB171" i="5"/>
  <c r="AA171" i="5"/>
  <c r="Z171" i="5"/>
  <c r="Y171" i="5"/>
  <c r="X171" i="5"/>
  <c r="K171" i="5"/>
  <c r="J171" i="5"/>
  <c r="I171" i="5"/>
  <c r="AE170" i="5"/>
  <c r="AD170" i="5"/>
  <c r="AC170" i="5"/>
  <c r="AB170" i="5"/>
  <c r="AA170" i="5"/>
  <c r="Z170" i="5"/>
  <c r="Y170" i="5"/>
  <c r="X170" i="5"/>
  <c r="K170" i="5"/>
  <c r="J170" i="5"/>
  <c r="I170" i="5"/>
  <c r="AE169" i="5"/>
  <c r="AD169" i="5"/>
  <c r="AC169" i="5"/>
  <c r="AB169" i="5"/>
  <c r="AA169" i="5"/>
  <c r="Z169" i="5"/>
  <c r="Y169" i="5"/>
  <c r="X169" i="5"/>
  <c r="K169" i="5"/>
  <c r="J169" i="5"/>
  <c r="I169" i="5"/>
  <c r="AE168" i="5"/>
  <c r="AD168" i="5"/>
  <c r="AC168" i="5"/>
  <c r="AB168" i="5"/>
  <c r="AA168" i="5"/>
  <c r="Z168" i="5"/>
  <c r="Y168" i="5"/>
  <c r="X168" i="5"/>
  <c r="K168" i="5"/>
  <c r="J168" i="5"/>
  <c r="I168" i="5"/>
  <c r="AE167" i="5"/>
  <c r="AD167" i="5"/>
  <c r="AC167" i="5"/>
  <c r="AB167" i="5"/>
  <c r="AA167" i="5"/>
  <c r="Z167" i="5"/>
  <c r="Y167" i="5"/>
  <c r="X167" i="5"/>
  <c r="K167" i="5"/>
  <c r="J167" i="5"/>
  <c r="I167" i="5"/>
  <c r="AE166" i="5"/>
  <c r="AD166" i="5"/>
  <c r="AC166" i="5"/>
  <c r="AB166" i="5"/>
  <c r="AA166" i="5"/>
  <c r="Z166" i="5"/>
  <c r="Y166" i="5"/>
  <c r="X166" i="5"/>
  <c r="K166" i="5"/>
  <c r="J166" i="5"/>
  <c r="I166" i="5"/>
  <c r="AE165" i="5"/>
  <c r="AD165" i="5"/>
  <c r="AC165" i="5"/>
  <c r="AB165" i="5"/>
  <c r="AA165" i="5"/>
  <c r="Z165" i="5"/>
  <c r="Y165" i="5"/>
  <c r="X165" i="5"/>
  <c r="K165" i="5"/>
  <c r="J165" i="5"/>
  <c r="I165" i="5"/>
  <c r="AE164" i="5"/>
  <c r="AD164" i="5"/>
  <c r="AC164" i="5"/>
  <c r="AB164" i="5"/>
  <c r="AA164" i="5"/>
  <c r="Z164" i="5"/>
  <c r="Y164" i="5"/>
  <c r="X164" i="5"/>
  <c r="K164" i="5"/>
  <c r="J164" i="5"/>
  <c r="I164" i="5"/>
  <c r="AE163" i="5"/>
  <c r="AD163" i="5"/>
  <c r="AC163" i="5"/>
  <c r="AB163" i="5"/>
  <c r="AA163" i="5"/>
  <c r="Z163" i="5"/>
  <c r="Y163" i="5"/>
  <c r="X163" i="5"/>
  <c r="K163" i="5"/>
  <c r="J163" i="5"/>
  <c r="I163" i="5"/>
  <c r="AE162" i="5"/>
  <c r="AD162" i="5"/>
  <c r="AC162" i="5"/>
  <c r="AB162" i="5"/>
  <c r="AA162" i="5"/>
  <c r="Z162" i="5"/>
  <c r="Y162" i="5"/>
  <c r="X162" i="5"/>
  <c r="K162" i="5"/>
  <c r="J162" i="5"/>
  <c r="I162" i="5"/>
  <c r="AE161" i="5"/>
  <c r="AD161" i="5"/>
  <c r="AC161" i="5"/>
  <c r="AB161" i="5"/>
  <c r="AA161" i="5"/>
  <c r="Z161" i="5"/>
  <c r="Y161" i="5"/>
  <c r="X161" i="5"/>
  <c r="K161" i="5"/>
  <c r="J161" i="5"/>
  <c r="I161" i="5"/>
  <c r="AE160" i="5"/>
  <c r="AD160" i="5"/>
  <c r="AC160" i="5"/>
  <c r="AB160" i="5"/>
  <c r="AA160" i="5"/>
  <c r="Z160" i="5"/>
  <c r="Y160" i="5"/>
  <c r="X160" i="5"/>
  <c r="K160" i="5"/>
  <c r="J160" i="5"/>
  <c r="I160" i="5"/>
  <c r="AE159" i="5"/>
  <c r="AD159" i="5"/>
  <c r="AC159" i="5"/>
  <c r="AB159" i="5"/>
  <c r="AA159" i="5"/>
  <c r="Z159" i="5"/>
  <c r="Y159" i="5"/>
  <c r="X159" i="5"/>
  <c r="K159" i="5"/>
  <c r="J159" i="5"/>
  <c r="I159" i="5"/>
  <c r="AE158" i="5"/>
  <c r="AD158" i="5"/>
  <c r="AC158" i="5"/>
  <c r="AB158" i="5"/>
  <c r="AA158" i="5"/>
  <c r="Z158" i="5"/>
  <c r="Y158" i="5"/>
  <c r="X158" i="5"/>
  <c r="K158" i="5"/>
  <c r="J158" i="5"/>
  <c r="I158" i="5"/>
  <c r="AE157" i="5"/>
  <c r="AD157" i="5"/>
  <c r="AC157" i="5"/>
  <c r="AB157" i="5"/>
  <c r="AA157" i="5"/>
  <c r="Z157" i="5"/>
  <c r="Y157" i="5"/>
  <c r="X157" i="5"/>
  <c r="K157" i="5"/>
  <c r="J157" i="5"/>
  <c r="I157" i="5"/>
  <c r="AE156" i="5"/>
  <c r="AD156" i="5"/>
  <c r="AC156" i="5"/>
  <c r="AB156" i="5"/>
  <c r="AA156" i="5"/>
  <c r="Z156" i="5"/>
  <c r="Y156" i="5"/>
  <c r="X156" i="5"/>
  <c r="K156" i="5"/>
  <c r="J156" i="5"/>
  <c r="I156" i="5"/>
  <c r="AE155" i="5"/>
  <c r="AD155" i="5"/>
  <c r="AC155" i="5"/>
  <c r="AB155" i="5"/>
  <c r="AA155" i="5"/>
  <c r="Z155" i="5"/>
  <c r="Y155" i="5"/>
  <c r="X155" i="5"/>
  <c r="K155" i="5"/>
  <c r="J155" i="5"/>
  <c r="I155" i="5"/>
  <c r="AE154" i="5"/>
  <c r="AD154" i="5"/>
  <c r="AC154" i="5"/>
  <c r="AB154" i="5"/>
  <c r="AA154" i="5"/>
  <c r="Z154" i="5"/>
  <c r="Y154" i="5"/>
  <c r="X154" i="5"/>
  <c r="K154" i="5"/>
  <c r="J154" i="5"/>
  <c r="I154" i="5"/>
  <c r="AE153" i="5"/>
  <c r="AD153" i="5"/>
  <c r="AC153" i="5"/>
  <c r="AB153" i="5"/>
  <c r="AA153" i="5"/>
  <c r="Z153" i="5"/>
  <c r="Y153" i="5"/>
  <c r="X153" i="5"/>
  <c r="K153" i="5"/>
  <c r="J153" i="5"/>
  <c r="I153" i="5"/>
  <c r="AE152" i="5"/>
  <c r="AD152" i="5"/>
  <c r="AC152" i="5"/>
  <c r="AB152" i="5"/>
  <c r="AA152" i="5"/>
  <c r="Z152" i="5"/>
  <c r="Y152" i="5"/>
  <c r="X152" i="5"/>
  <c r="K152" i="5"/>
  <c r="J152" i="5"/>
  <c r="I152" i="5"/>
  <c r="AE151" i="5"/>
  <c r="AD151" i="5"/>
  <c r="AC151" i="5"/>
  <c r="AB151" i="5"/>
  <c r="AA151" i="5"/>
  <c r="Z151" i="5"/>
  <c r="Y151" i="5"/>
  <c r="X151" i="5"/>
  <c r="K151" i="5"/>
  <c r="J151" i="5"/>
  <c r="I151" i="5"/>
  <c r="AE150" i="5"/>
  <c r="AD150" i="5"/>
  <c r="AC150" i="5"/>
  <c r="AB150" i="5"/>
  <c r="AA150" i="5"/>
  <c r="Z150" i="5"/>
  <c r="Y150" i="5"/>
  <c r="X150" i="5"/>
  <c r="K150" i="5"/>
  <c r="J150" i="5"/>
  <c r="I150" i="5"/>
  <c r="AE149" i="5"/>
  <c r="AD149" i="5"/>
  <c r="AC149" i="5"/>
  <c r="AB149" i="5"/>
  <c r="AA149" i="5"/>
  <c r="Z149" i="5"/>
  <c r="Y149" i="5"/>
  <c r="X149" i="5"/>
  <c r="K149" i="5"/>
  <c r="J149" i="5"/>
  <c r="I149" i="5"/>
  <c r="AE148" i="5"/>
  <c r="AD148" i="5"/>
  <c r="AC148" i="5"/>
  <c r="AB148" i="5"/>
  <c r="AA148" i="5"/>
  <c r="Z148" i="5"/>
  <c r="Y148" i="5"/>
  <c r="X148" i="5"/>
  <c r="K148" i="5"/>
  <c r="J148" i="5"/>
  <c r="I148" i="5"/>
  <c r="AE147" i="5"/>
  <c r="AD147" i="5"/>
  <c r="AC147" i="5"/>
  <c r="AB147" i="5"/>
  <c r="AA147" i="5"/>
  <c r="Z147" i="5"/>
  <c r="Y147" i="5"/>
  <c r="X147" i="5"/>
  <c r="K147" i="5"/>
  <c r="J147" i="5"/>
  <c r="I147" i="5"/>
  <c r="AE146" i="5"/>
  <c r="AD146" i="5"/>
  <c r="AC146" i="5"/>
  <c r="AB146" i="5"/>
  <c r="AA146" i="5"/>
  <c r="Z146" i="5"/>
  <c r="Y146" i="5"/>
  <c r="X146" i="5"/>
  <c r="K146" i="5"/>
  <c r="J146" i="5"/>
  <c r="I146" i="5"/>
  <c r="AE145" i="5"/>
  <c r="AD145" i="5"/>
  <c r="AC145" i="5"/>
  <c r="AB145" i="5"/>
  <c r="AA145" i="5"/>
  <c r="Z145" i="5"/>
  <c r="Y145" i="5"/>
  <c r="X145" i="5"/>
  <c r="K145" i="5"/>
  <c r="J145" i="5"/>
  <c r="I145" i="5"/>
  <c r="AE144" i="5"/>
  <c r="AD144" i="5"/>
  <c r="AC144" i="5"/>
  <c r="AB144" i="5"/>
  <c r="AA144" i="5"/>
  <c r="Z144" i="5"/>
  <c r="Y144" i="5"/>
  <c r="X144" i="5"/>
  <c r="K144" i="5"/>
  <c r="J144" i="5"/>
  <c r="I144" i="5"/>
  <c r="AE143" i="5"/>
  <c r="AD143" i="5"/>
  <c r="AC143" i="5"/>
  <c r="AB143" i="5"/>
  <c r="AA143" i="5"/>
  <c r="Z143" i="5"/>
  <c r="Y143" i="5"/>
  <c r="X143" i="5"/>
  <c r="K143" i="5"/>
  <c r="J143" i="5"/>
  <c r="I143" i="5"/>
  <c r="AE142" i="5"/>
  <c r="AD142" i="5"/>
  <c r="AC142" i="5"/>
  <c r="AB142" i="5"/>
  <c r="AA142" i="5"/>
  <c r="Z142" i="5"/>
  <c r="Y142" i="5"/>
  <c r="X142" i="5"/>
  <c r="K142" i="5"/>
  <c r="J142" i="5"/>
  <c r="I142" i="5"/>
  <c r="AE141" i="5"/>
  <c r="AD141" i="5"/>
  <c r="AC141" i="5"/>
  <c r="AB141" i="5"/>
  <c r="AA141" i="5"/>
  <c r="Z141" i="5"/>
  <c r="Y141" i="5"/>
  <c r="X141" i="5"/>
  <c r="K141" i="5"/>
  <c r="J141" i="5"/>
  <c r="I141" i="5"/>
  <c r="AE140" i="5"/>
  <c r="AD140" i="5"/>
  <c r="AC140" i="5"/>
  <c r="AB140" i="5"/>
  <c r="AA140" i="5"/>
  <c r="Z140" i="5"/>
  <c r="Y140" i="5"/>
  <c r="X140" i="5"/>
  <c r="K140" i="5"/>
  <c r="J140" i="5"/>
  <c r="I140" i="5"/>
  <c r="AE139" i="5"/>
  <c r="AD139" i="5"/>
  <c r="AC139" i="5"/>
  <c r="AB139" i="5"/>
  <c r="AA139" i="5"/>
  <c r="Z139" i="5"/>
  <c r="Y139" i="5"/>
  <c r="X139" i="5"/>
  <c r="K139" i="5"/>
  <c r="J139" i="5"/>
  <c r="I139" i="5"/>
  <c r="AE138" i="5"/>
  <c r="AD138" i="5"/>
  <c r="AC138" i="5"/>
  <c r="AB138" i="5"/>
  <c r="AA138" i="5"/>
  <c r="Z138" i="5"/>
  <c r="Y138" i="5"/>
  <c r="X138" i="5"/>
  <c r="K138" i="5"/>
  <c r="J138" i="5"/>
  <c r="I138" i="5"/>
  <c r="AE137" i="5"/>
  <c r="AD137" i="5"/>
  <c r="AC137" i="5"/>
  <c r="AB137" i="5"/>
  <c r="AA137" i="5"/>
  <c r="Z137" i="5"/>
  <c r="Y137" i="5"/>
  <c r="X137" i="5"/>
  <c r="K137" i="5"/>
  <c r="J137" i="5"/>
  <c r="I137" i="5"/>
  <c r="AE136" i="5"/>
  <c r="AD136" i="5"/>
  <c r="AC136" i="5"/>
  <c r="AB136" i="5"/>
  <c r="AA136" i="5"/>
  <c r="Z136" i="5"/>
  <c r="Y136" i="5"/>
  <c r="X136" i="5"/>
  <c r="K136" i="5"/>
  <c r="J136" i="5"/>
  <c r="I136" i="5"/>
  <c r="AE135" i="5"/>
  <c r="AD135" i="5"/>
  <c r="AC135" i="5"/>
  <c r="AB135" i="5"/>
  <c r="AA135" i="5"/>
  <c r="Z135" i="5"/>
  <c r="Y135" i="5"/>
  <c r="X135" i="5"/>
  <c r="K135" i="5"/>
  <c r="J135" i="5"/>
  <c r="I135" i="5"/>
  <c r="AE134" i="5"/>
  <c r="AD134" i="5"/>
  <c r="AC134" i="5"/>
  <c r="AB134" i="5"/>
  <c r="AA134" i="5"/>
  <c r="Z134" i="5"/>
  <c r="Y134" i="5"/>
  <c r="X134" i="5"/>
  <c r="K134" i="5"/>
  <c r="J134" i="5"/>
  <c r="I134" i="5"/>
  <c r="AE133" i="5"/>
  <c r="AD133" i="5"/>
  <c r="AC133" i="5"/>
  <c r="AB133" i="5"/>
  <c r="AA133" i="5"/>
  <c r="Z133" i="5"/>
  <c r="Y133" i="5"/>
  <c r="X133" i="5"/>
  <c r="K133" i="5"/>
  <c r="J133" i="5"/>
  <c r="I133" i="5"/>
  <c r="AE132" i="5"/>
  <c r="AD132" i="5"/>
  <c r="AC132" i="5"/>
  <c r="AB132" i="5"/>
  <c r="AA132" i="5"/>
  <c r="Z132" i="5"/>
  <c r="Y132" i="5"/>
  <c r="X132" i="5"/>
  <c r="K132" i="5"/>
  <c r="J132" i="5"/>
  <c r="I132" i="5"/>
  <c r="AE131" i="5"/>
  <c r="AD131" i="5"/>
  <c r="AC131" i="5"/>
  <c r="AB131" i="5"/>
  <c r="AA131" i="5"/>
  <c r="Z131" i="5"/>
  <c r="Y131" i="5"/>
  <c r="X131" i="5"/>
  <c r="K131" i="5"/>
  <c r="J131" i="5"/>
  <c r="I131" i="5"/>
  <c r="AE130" i="5"/>
  <c r="AD130" i="5"/>
  <c r="AC130" i="5"/>
  <c r="AB130" i="5"/>
  <c r="AA130" i="5"/>
  <c r="Z130" i="5"/>
  <c r="Y130" i="5"/>
  <c r="X130" i="5"/>
  <c r="K130" i="5"/>
  <c r="J130" i="5"/>
  <c r="I130" i="5"/>
  <c r="AE129" i="5"/>
  <c r="AD129" i="5"/>
  <c r="AC129" i="5"/>
  <c r="AB129" i="5"/>
  <c r="AA129" i="5"/>
  <c r="Z129" i="5"/>
  <c r="Y129" i="5"/>
  <c r="X129" i="5"/>
  <c r="K129" i="5"/>
  <c r="J129" i="5"/>
  <c r="I129" i="5"/>
  <c r="AE128" i="5"/>
  <c r="AD128" i="5"/>
  <c r="AC128" i="5"/>
  <c r="AB128" i="5"/>
  <c r="AA128" i="5"/>
  <c r="Z128" i="5"/>
  <c r="Y128" i="5"/>
  <c r="X128" i="5"/>
  <c r="K128" i="5"/>
  <c r="J128" i="5"/>
  <c r="I128" i="5"/>
  <c r="AE127" i="5"/>
  <c r="AD127" i="5"/>
  <c r="AC127" i="5"/>
  <c r="AB127" i="5"/>
  <c r="AA127" i="5"/>
  <c r="Z127" i="5"/>
  <c r="Y127" i="5"/>
  <c r="X127" i="5"/>
  <c r="K127" i="5"/>
  <c r="J127" i="5"/>
  <c r="I127" i="5"/>
  <c r="AE126" i="5"/>
  <c r="AD126" i="5"/>
  <c r="AC126" i="5"/>
  <c r="AB126" i="5"/>
  <c r="AA126" i="5"/>
  <c r="Z126" i="5"/>
  <c r="Y126" i="5"/>
  <c r="X126" i="5"/>
  <c r="K126" i="5"/>
  <c r="J126" i="5"/>
  <c r="I126" i="5"/>
  <c r="AE125" i="5"/>
  <c r="AD125" i="5"/>
  <c r="AC125" i="5"/>
  <c r="AB125" i="5"/>
  <c r="AA125" i="5"/>
  <c r="Z125" i="5"/>
  <c r="Y125" i="5"/>
  <c r="X125" i="5"/>
  <c r="K125" i="5"/>
  <c r="J125" i="5"/>
  <c r="I125" i="5"/>
  <c r="AE124" i="5"/>
  <c r="AD124" i="5"/>
  <c r="AC124" i="5"/>
  <c r="AB124" i="5"/>
  <c r="AA124" i="5"/>
  <c r="Z124" i="5"/>
  <c r="Y124" i="5"/>
  <c r="X124" i="5"/>
  <c r="K124" i="5"/>
  <c r="J124" i="5"/>
  <c r="I124" i="5"/>
  <c r="AE123" i="5"/>
  <c r="AD123" i="5"/>
  <c r="AC123" i="5"/>
  <c r="AB123" i="5"/>
  <c r="AA123" i="5"/>
  <c r="Z123" i="5"/>
  <c r="Y123" i="5"/>
  <c r="X123" i="5"/>
  <c r="K123" i="5"/>
  <c r="J123" i="5"/>
  <c r="I123" i="5"/>
  <c r="AE122" i="5"/>
  <c r="AD122" i="5"/>
  <c r="AC122" i="5"/>
  <c r="AB122" i="5"/>
  <c r="AA122" i="5"/>
  <c r="Z122" i="5"/>
  <c r="Y122" i="5"/>
  <c r="X122" i="5"/>
  <c r="K122" i="5"/>
  <c r="J122" i="5"/>
  <c r="I122" i="5"/>
  <c r="AE121" i="5"/>
  <c r="AD121" i="5"/>
  <c r="AC121" i="5"/>
  <c r="AB121" i="5"/>
  <c r="AA121" i="5"/>
  <c r="Z121" i="5"/>
  <c r="Y121" i="5"/>
  <c r="X121" i="5"/>
  <c r="K121" i="5"/>
  <c r="J121" i="5"/>
  <c r="I121" i="5"/>
  <c r="AE120" i="5"/>
  <c r="AD120" i="5"/>
  <c r="AC120" i="5"/>
  <c r="AB120" i="5"/>
  <c r="AA120" i="5"/>
  <c r="Z120" i="5"/>
  <c r="Y120" i="5"/>
  <c r="X120" i="5"/>
  <c r="K120" i="5"/>
  <c r="J120" i="5"/>
  <c r="I120" i="5"/>
  <c r="AE119" i="5"/>
  <c r="AD119" i="5"/>
  <c r="AC119" i="5"/>
  <c r="AB119" i="5"/>
  <c r="AA119" i="5"/>
  <c r="Z119" i="5"/>
  <c r="Y119" i="5"/>
  <c r="X119" i="5"/>
  <c r="K119" i="5"/>
  <c r="J119" i="5"/>
  <c r="I119" i="5"/>
  <c r="AE118" i="5"/>
  <c r="AD118" i="5"/>
  <c r="AC118" i="5"/>
  <c r="AB118" i="5"/>
  <c r="AA118" i="5"/>
  <c r="Z118" i="5"/>
  <c r="Y118" i="5"/>
  <c r="X118" i="5"/>
  <c r="K118" i="5"/>
  <c r="J118" i="5"/>
  <c r="I118" i="5"/>
  <c r="AE117" i="5"/>
  <c r="AD117" i="5"/>
  <c r="AC117" i="5"/>
  <c r="AB117" i="5"/>
  <c r="AA117" i="5"/>
  <c r="Z117" i="5"/>
  <c r="Y117" i="5"/>
  <c r="X117" i="5"/>
  <c r="K117" i="5"/>
  <c r="J117" i="5"/>
  <c r="I117" i="5"/>
  <c r="AE116" i="5"/>
  <c r="AD116" i="5"/>
  <c r="AC116" i="5"/>
  <c r="AB116" i="5"/>
  <c r="AA116" i="5"/>
  <c r="Z116" i="5"/>
  <c r="Y116" i="5"/>
  <c r="X116" i="5"/>
  <c r="K116" i="5"/>
  <c r="J116" i="5"/>
  <c r="I116" i="5"/>
  <c r="AE115" i="5"/>
  <c r="AD115" i="5"/>
  <c r="AC115" i="5"/>
  <c r="AB115" i="5"/>
  <c r="AA115" i="5"/>
  <c r="Z115" i="5"/>
  <c r="Y115" i="5"/>
  <c r="X115" i="5"/>
  <c r="K115" i="5"/>
  <c r="J115" i="5"/>
  <c r="I115" i="5"/>
  <c r="AE114" i="5"/>
  <c r="AD114" i="5"/>
  <c r="AC114" i="5"/>
  <c r="AB114" i="5"/>
  <c r="AA114" i="5"/>
  <c r="Z114" i="5"/>
  <c r="Y114" i="5"/>
  <c r="X114" i="5"/>
  <c r="K114" i="5"/>
  <c r="J114" i="5"/>
  <c r="I114" i="5"/>
  <c r="AE113" i="5"/>
  <c r="AD113" i="5"/>
  <c r="AC113" i="5"/>
  <c r="AB113" i="5"/>
  <c r="AA113" i="5"/>
  <c r="Z113" i="5"/>
  <c r="Y113" i="5"/>
  <c r="X113" i="5"/>
  <c r="K113" i="5"/>
  <c r="J113" i="5"/>
  <c r="I113" i="5"/>
  <c r="AE112" i="5"/>
  <c r="AD112" i="5"/>
  <c r="AC112" i="5"/>
  <c r="AB112" i="5"/>
  <c r="AA112" i="5"/>
  <c r="Z112" i="5"/>
  <c r="Y112" i="5"/>
  <c r="X112" i="5"/>
  <c r="K112" i="5"/>
  <c r="J112" i="5"/>
  <c r="I112" i="5"/>
  <c r="AE111" i="5"/>
  <c r="AD111" i="5"/>
  <c r="AC111" i="5"/>
  <c r="AB111" i="5"/>
  <c r="AA111" i="5"/>
  <c r="Z111" i="5"/>
  <c r="Y111" i="5"/>
  <c r="X111" i="5"/>
  <c r="K111" i="5"/>
  <c r="J111" i="5"/>
  <c r="I111" i="5"/>
  <c r="AE110" i="5"/>
  <c r="AD110" i="5"/>
  <c r="AC110" i="5"/>
  <c r="AB110" i="5"/>
  <c r="AA110" i="5"/>
  <c r="Z110" i="5"/>
  <c r="Y110" i="5"/>
  <c r="X110" i="5"/>
  <c r="K110" i="5"/>
  <c r="J110" i="5"/>
  <c r="I110" i="5"/>
  <c r="AE109" i="5"/>
  <c r="AD109" i="5"/>
  <c r="AC109" i="5"/>
  <c r="AB109" i="5"/>
  <c r="AA109" i="5"/>
  <c r="Z109" i="5"/>
  <c r="Y109" i="5"/>
  <c r="X109" i="5"/>
  <c r="K109" i="5"/>
  <c r="J109" i="5"/>
  <c r="I109" i="5"/>
  <c r="AE108" i="5"/>
  <c r="AD108" i="5"/>
  <c r="AC108" i="5"/>
  <c r="AB108" i="5"/>
  <c r="AA108" i="5"/>
  <c r="Z108" i="5"/>
  <c r="Y108" i="5"/>
  <c r="X108" i="5"/>
  <c r="K108" i="5"/>
  <c r="J108" i="5"/>
  <c r="I108" i="5"/>
  <c r="AE107" i="5"/>
  <c r="AD107" i="5"/>
  <c r="AC107" i="5"/>
  <c r="AB107" i="5"/>
  <c r="AA107" i="5"/>
  <c r="Z107" i="5"/>
  <c r="Y107" i="5"/>
  <c r="X107" i="5"/>
  <c r="K107" i="5"/>
  <c r="J107" i="5"/>
  <c r="I107" i="5"/>
  <c r="AE106" i="5"/>
  <c r="AD106" i="5"/>
  <c r="AC106" i="5"/>
  <c r="AB106" i="5"/>
  <c r="AA106" i="5"/>
  <c r="Z106" i="5"/>
  <c r="Y106" i="5"/>
  <c r="X106" i="5"/>
  <c r="K106" i="5"/>
  <c r="J106" i="5"/>
  <c r="I106" i="5"/>
  <c r="AE105" i="5"/>
  <c r="AD105" i="5"/>
  <c r="AC105" i="5"/>
  <c r="AB105" i="5"/>
  <c r="AA105" i="5"/>
  <c r="Z105" i="5"/>
  <c r="Y105" i="5"/>
  <c r="X105" i="5"/>
  <c r="K105" i="5"/>
  <c r="J105" i="5"/>
  <c r="I105" i="5"/>
  <c r="AE104" i="5"/>
  <c r="AD104" i="5"/>
  <c r="AC104" i="5"/>
  <c r="AB104" i="5"/>
  <c r="AA104" i="5"/>
  <c r="Z104" i="5"/>
  <c r="Y104" i="5"/>
  <c r="X104" i="5"/>
  <c r="K104" i="5"/>
  <c r="J104" i="5"/>
  <c r="I104" i="5"/>
  <c r="AE103" i="5"/>
  <c r="AD103" i="5"/>
  <c r="AC103" i="5"/>
  <c r="AB103" i="5"/>
  <c r="AA103" i="5"/>
  <c r="Z103" i="5"/>
  <c r="Y103" i="5"/>
  <c r="X103" i="5"/>
  <c r="K103" i="5"/>
  <c r="J103" i="5"/>
  <c r="I103" i="5"/>
  <c r="AE102" i="5"/>
  <c r="AD102" i="5"/>
  <c r="AC102" i="5"/>
  <c r="AB102" i="5"/>
  <c r="AA102" i="5"/>
  <c r="Z102" i="5"/>
  <c r="Y102" i="5"/>
  <c r="X102" i="5"/>
  <c r="K102" i="5"/>
  <c r="J102" i="5"/>
  <c r="I102" i="5"/>
  <c r="AE101" i="5"/>
  <c r="AD101" i="5"/>
  <c r="AC101" i="5"/>
  <c r="AB101" i="5"/>
  <c r="AA101" i="5"/>
  <c r="Z101" i="5"/>
  <c r="Y101" i="5"/>
  <c r="X101" i="5"/>
  <c r="K101" i="5"/>
  <c r="J101" i="5"/>
  <c r="I101" i="5"/>
  <c r="AE100" i="5"/>
  <c r="AD100" i="5"/>
  <c r="AC100" i="5"/>
  <c r="AB100" i="5"/>
  <c r="AA100" i="5"/>
  <c r="Z100" i="5"/>
  <c r="Y100" i="5"/>
  <c r="X100" i="5"/>
  <c r="K100" i="5"/>
  <c r="J100" i="5"/>
  <c r="I100" i="5"/>
  <c r="AE99" i="5"/>
  <c r="AD99" i="5"/>
  <c r="AC99" i="5"/>
  <c r="AB99" i="5"/>
  <c r="AA99" i="5"/>
  <c r="Z99" i="5"/>
  <c r="Y99" i="5"/>
  <c r="X99" i="5"/>
  <c r="K99" i="5"/>
  <c r="J99" i="5"/>
  <c r="I99" i="5"/>
  <c r="AE98" i="5"/>
  <c r="AD98" i="5"/>
  <c r="AC98" i="5"/>
  <c r="AB98" i="5"/>
  <c r="AA98" i="5"/>
  <c r="Z98" i="5"/>
  <c r="Y98" i="5"/>
  <c r="X98" i="5"/>
  <c r="K98" i="5"/>
  <c r="J98" i="5"/>
  <c r="I98" i="5"/>
  <c r="AE97" i="5"/>
  <c r="AD97" i="5"/>
  <c r="AC97" i="5"/>
  <c r="AB97" i="5"/>
  <c r="AA97" i="5"/>
  <c r="Z97" i="5"/>
  <c r="Y97" i="5"/>
  <c r="X97" i="5"/>
  <c r="K97" i="5"/>
  <c r="J97" i="5"/>
  <c r="I97" i="5"/>
  <c r="AE96" i="5"/>
  <c r="AD96" i="5"/>
  <c r="AC96" i="5"/>
  <c r="AB96" i="5"/>
  <c r="AA96" i="5"/>
  <c r="Z96" i="5"/>
  <c r="Y96" i="5"/>
  <c r="X96" i="5"/>
  <c r="K96" i="5"/>
  <c r="J96" i="5"/>
  <c r="I96" i="5"/>
  <c r="AE95" i="5"/>
  <c r="AD95" i="5"/>
  <c r="AC95" i="5"/>
  <c r="AB95" i="5"/>
  <c r="AA95" i="5"/>
  <c r="Z95" i="5"/>
  <c r="Y95" i="5"/>
  <c r="X95" i="5"/>
  <c r="K95" i="5"/>
  <c r="J95" i="5"/>
  <c r="I95" i="5"/>
  <c r="AE94" i="5"/>
  <c r="AD94" i="5"/>
  <c r="AC94" i="5"/>
  <c r="AB94" i="5"/>
  <c r="AA94" i="5"/>
  <c r="Z94" i="5"/>
  <c r="Y94" i="5"/>
  <c r="X94" i="5"/>
  <c r="K94" i="5"/>
  <c r="J94" i="5"/>
  <c r="I94" i="5"/>
  <c r="AE93" i="5"/>
  <c r="AD93" i="5"/>
  <c r="AC93" i="5"/>
  <c r="AB93" i="5"/>
  <c r="AA93" i="5"/>
  <c r="Z93" i="5"/>
  <c r="Y93" i="5"/>
  <c r="X93" i="5"/>
  <c r="K93" i="5"/>
  <c r="J93" i="5"/>
  <c r="I93" i="5"/>
  <c r="AE92" i="5"/>
  <c r="AD92" i="5"/>
  <c r="AC92" i="5"/>
  <c r="AB92" i="5"/>
  <c r="AA92" i="5"/>
  <c r="Z92" i="5"/>
  <c r="Y92" i="5"/>
  <c r="X92" i="5"/>
  <c r="K92" i="5"/>
  <c r="J92" i="5"/>
  <c r="I92" i="5"/>
  <c r="AE91" i="5"/>
  <c r="AD91" i="5"/>
  <c r="AC91" i="5"/>
  <c r="AB91" i="5"/>
  <c r="AA91" i="5"/>
  <c r="Z91" i="5"/>
  <c r="Y91" i="5"/>
  <c r="X91" i="5"/>
  <c r="K91" i="5"/>
  <c r="J91" i="5"/>
  <c r="I91" i="5"/>
  <c r="AE90" i="5"/>
  <c r="AD90" i="5"/>
  <c r="AC90" i="5"/>
  <c r="AB90" i="5"/>
  <c r="AA90" i="5"/>
  <c r="Z90" i="5"/>
  <c r="Y90" i="5"/>
  <c r="X90" i="5"/>
  <c r="K90" i="5"/>
  <c r="J90" i="5"/>
  <c r="I90" i="5"/>
  <c r="AE89" i="5"/>
  <c r="AD89" i="5"/>
  <c r="AC89" i="5"/>
  <c r="AB89" i="5"/>
  <c r="AA89" i="5"/>
  <c r="Z89" i="5"/>
  <c r="Y89" i="5"/>
  <c r="X89" i="5"/>
  <c r="K89" i="5"/>
  <c r="J89" i="5"/>
  <c r="I89" i="5"/>
  <c r="AE88" i="5"/>
  <c r="AD88" i="5"/>
  <c r="AC88" i="5"/>
  <c r="AB88" i="5"/>
  <c r="AA88" i="5"/>
  <c r="Z88" i="5"/>
  <c r="Y88" i="5"/>
  <c r="X88" i="5"/>
  <c r="K88" i="5"/>
  <c r="J88" i="5"/>
  <c r="I88" i="5"/>
  <c r="AE87" i="5"/>
  <c r="AD87" i="5"/>
  <c r="AC87" i="5"/>
  <c r="AB87" i="5"/>
  <c r="AA87" i="5"/>
  <c r="Z87" i="5"/>
  <c r="Y87" i="5"/>
  <c r="X87" i="5"/>
  <c r="K87" i="5"/>
  <c r="J87" i="5"/>
  <c r="I87" i="5"/>
  <c r="AE86" i="5"/>
  <c r="AD86" i="5"/>
  <c r="AC86" i="5"/>
  <c r="AB86" i="5"/>
  <c r="AA86" i="5"/>
  <c r="Z86" i="5"/>
  <c r="Y86" i="5"/>
  <c r="X86" i="5"/>
  <c r="K86" i="5"/>
  <c r="J86" i="5"/>
  <c r="I86" i="5"/>
  <c r="AE85" i="5"/>
  <c r="AD85" i="5"/>
  <c r="AC85" i="5"/>
  <c r="AB85" i="5"/>
  <c r="AA85" i="5"/>
  <c r="Z85" i="5"/>
  <c r="Y85" i="5"/>
  <c r="X85" i="5"/>
  <c r="K85" i="5"/>
  <c r="J85" i="5"/>
  <c r="I85" i="5"/>
  <c r="AE84" i="5"/>
  <c r="AD84" i="5"/>
  <c r="AC84" i="5"/>
  <c r="AB84" i="5"/>
  <c r="AA84" i="5"/>
  <c r="Z84" i="5"/>
  <c r="Y84" i="5"/>
  <c r="X84" i="5"/>
  <c r="K84" i="5"/>
  <c r="J84" i="5"/>
  <c r="I84" i="5"/>
  <c r="AE83" i="5"/>
  <c r="AD83" i="5"/>
  <c r="AC83" i="5"/>
  <c r="AB83" i="5"/>
  <c r="AA83" i="5"/>
  <c r="Z83" i="5"/>
  <c r="Y83" i="5"/>
  <c r="X83" i="5"/>
  <c r="K83" i="5"/>
  <c r="J83" i="5"/>
  <c r="I83" i="5"/>
  <c r="AE82" i="5"/>
  <c r="AD82" i="5"/>
  <c r="AC82" i="5"/>
  <c r="AB82" i="5"/>
  <c r="AA82" i="5"/>
  <c r="Z82" i="5"/>
  <c r="Y82" i="5"/>
  <c r="X82" i="5"/>
  <c r="K82" i="5"/>
  <c r="J82" i="5"/>
  <c r="I82" i="5"/>
  <c r="AE81" i="5"/>
  <c r="AD81" i="5"/>
  <c r="AC81" i="5"/>
  <c r="AB81" i="5"/>
  <c r="AA81" i="5"/>
  <c r="Z81" i="5"/>
  <c r="Y81" i="5"/>
  <c r="X81" i="5"/>
  <c r="K81" i="5"/>
  <c r="J81" i="5"/>
  <c r="I81" i="5"/>
  <c r="AE80" i="5"/>
  <c r="AD80" i="5"/>
  <c r="AC80" i="5"/>
  <c r="AB80" i="5"/>
  <c r="AA80" i="5"/>
  <c r="Z80" i="5"/>
  <c r="Y80" i="5"/>
  <c r="X80" i="5"/>
  <c r="K80" i="5"/>
  <c r="J80" i="5"/>
  <c r="I80" i="5"/>
  <c r="AE79" i="5"/>
  <c r="AD79" i="5"/>
  <c r="AC79" i="5"/>
  <c r="AB79" i="5"/>
  <c r="AA79" i="5"/>
  <c r="Z79" i="5"/>
  <c r="Y79" i="5"/>
  <c r="X79" i="5"/>
  <c r="K79" i="5"/>
  <c r="J79" i="5"/>
  <c r="I79" i="5"/>
  <c r="AE78" i="5"/>
  <c r="AD78" i="5"/>
  <c r="AC78" i="5"/>
  <c r="AB78" i="5"/>
  <c r="AA78" i="5"/>
  <c r="Z78" i="5"/>
  <c r="Y78" i="5"/>
  <c r="X78" i="5"/>
  <c r="K78" i="5"/>
  <c r="J78" i="5"/>
  <c r="I78" i="5"/>
  <c r="AE77" i="5"/>
  <c r="AD77" i="5"/>
  <c r="AC77" i="5"/>
  <c r="AB77" i="5"/>
  <c r="AA77" i="5"/>
  <c r="Z77" i="5"/>
  <c r="Y77" i="5"/>
  <c r="X77" i="5"/>
  <c r="K77" i="5"/>
  <c r="J77" i="5"/>
  <c r="I77" i="5"/>
  <c r="AE76" i="5"/>
  <c r="AD76" i="5"/>
  <c r="AC76" i="5"/>
  <c r="AB76" i="5"/>
  <c r="AA76" i="5"/>
  <c r="Z76" i="5"/>
  <c r="Y76" i="5"/>
  <c r="X76" i="5"/>
  <c r="K76" i="5"/>
  <c r="J76" i="5"/>
  <c r="I76" i="5"/>
  <c r="AE75" i="5"/>
  <c r="AD75" i="5"/>
  <c r="AC75" i="5"/>
  <c r="AB75" i="5"/>
  <c r="AA75" i="5"/>
  <c r="Z75" i="5"/>
  <c r="Y75" i="5"/>
  <c r="X75" i="5"/>
  <c r="K75" i="5"/>
  <c r="J75" i="5"/>
  <c r="I75" i="5"/>
  <c r="AE74" i="5"/>
  <c r="AD74" i="5"/>
  <c r="AC74" i="5"/>
  <c r="AB74" i="5"/>
  <c r="AA74" i="5"/>
  <c r="Z74" i="5"/>
  <c r="Y74" i="5"/>
  <c r="X74" i="5"/>
  <c r="K74" i="5"/>
  <c r="J74" i="5"/>
  <c r="I74" i="5"/>
  <c r="AE73" i="5"/>
  <c r="AD73" i="5"/>
  <c r="AC73" i="5"/>
  <c r="AB73" i="5"/>
  <c r="AA73" i="5"/>
  <c r="Z73" i="5"/>
  <c r="Y73" i="5"/>
  <c r="X73" i="5"/>
  <c r="K73" i="5"/>
  <c r="J73" i="5"/>
  <c r="I73" i="5"/>
  <c r="AE72" i="5"/>
  <c r="AD72" i="5"/>
  <c r="AC72" i="5"/>
  <c r="AB72" i="5"/>
  <c r="AA72" i="5"/>
  <c r="Z72" i="5"/>
  <c r="Y72" i="5"/>
  <c r="X72" i="5"/>
  <c r="K72" i="5"/>
  <c r="J72" i="5"/>
  <c r="I72" i="5"/>
  <c r="AE71" i="5"/>
  <c r="AD71" i="5"/>
  <c r="AC71" i="5"/>
  <c r="AB71" i="5"/>
  <c r="AA71" i="5"/>
  <c r="Z71" i="5"/>
  <c r="Y71" i="5"/>
  <c r="X71" i="5"/>
  <c r="K71" i="5"/>
  <c r="J71" i="5"/>
  <c r="I71" i="5"/>
  <c r="AE70" i="5"/>
  <c r="AD70" i="5"/>
  <c r="AC70" i="5"/>
  <c r="AB70" i="5"/>
  <c r="AA70" i="5"/>
  <c r="Z70" i="5"/>
  <c r="Y70" i="5"/>
  <c r="X70" i="5"/>
  <c r="K70" i="5"/>
  <c r="J70" i="5"/>
  <c r="I70" i="5"/>
  <c r="AE69" i="5"/>
  <c r="AD69" i="5"/>
  <c r="AC69" i="5"/>
  <c r="AB69" i="5"/>
  <c r="AA69" i="5"/>
  <c r="Z69" i="5"/>
  <c r="Y69" i="5"/>
  <c r="X69" i="5"/>
  <c r="K69" i="5"/>
  <c r="J69" i="5"/>
  <c r="I69" i="5"/>
  <c r="AE68" i="5"/>
  <c r="AD68" i="5"/>
  <c r="AC68" i="5"/>
  <c r="AB68" i="5"/>
  <c r="AA68" i="5"/>
  <c r="Z68" i="5"/>
  <c r="Y68" i="5"/>
  <c r="X68" i="5"/>
  <c r="K68" i="5"/>
  <c r="J68" i="5"/>
  <c r="I68" i="5"/>
  <c r="AE67" i="5"/>
  <c r="AD67" i="5"/>
  <c r="AC67" i="5"/>
  <c r="AB67" i="5"/>
  <c r="AA67" i="5"/>
  <c r="Z67" i="5"/>
  <c r="Y67" i="5"/>
  <c r="X67" i="5"/>
  <c r="K67" i="5"/>
  <c r="J67" i="5"/>
  <c r="I67" i="5"/>
  <c r="AE66" i="5"/>
  <c r="AD66" i="5"/>
  <c r="AC66" i="5"/>
  <c r="AB66" i="5"/>
  <c r="AA66" i="5"/>
  <c r="Z66" i="5"/>
  <c r="Y66" i="5"/>
  <c r="X66" i="5"/>
  <c r="K66" i="5"/>
  <c r="J66" i="5"/>
  <c r="I66" i="5"/>
  <c r="AE65" i="5"/>
  <c r="AD65" i="5"/>
  <c r="AC65" i="5"/>
  <c r="AB65" i="5"/>
  <c r="AA65" i="5"/>
  <c r="Z65" i="5"/>
  <c r="Y65" i="5"/>
  <c r="X65" i="5"/>
  <c r="K65" i="5"/>
  <c r="J65" i="5"/>
  <c r="I65" i="5"/>
  <c r="AE64" i="5"/>
  <c r="AD64" i="5"/>
  <c r="AC64" i="5"/>
  <c r="AB64" i="5"/>
  <c r="AA64" i="5"/>
  <c r="Z64" i="5"/>
  <c r="Y64" i="5"/>
  <c r="X64" i="5"/>
  <c r="K64" i="5"/>
  <c r="J64" i="5"/>
  <c r="I64" i="5"/>
  <c r="AE63" i="5"/>
  <c r="AD63" i="5"/>
  <c r="AC63" i="5"/>
  <c r="AB63" i="5"/>
  <c r="AA63" i="5"/>
  <c r="Z63" i="5"/>
  <c r="Y63" i="5"/>
  <c r="X63" i="5"/>
  <c r="K63" i="5"/>
  <c r="J63" i="5"/>
  <c r="I63" i="5"/>
  <c r="AE62" i="5"/>
  <c r="AD62" i="5"/>
  <c r="AC62" i="5"/>
  <c r="AB62" i="5"/>
  <c r="AA62" i="5"/>
  <c r="Z62" i="5"/>
  <c r="Y62" i="5"/>
  <c r="X62" i="5"/>
  <c r="K62" i="5"/>
  <c r="J62" i="5"/>
  <c r="I62" i="5"/>
  <c r="AE61" i="5"/>
  <c r="AD61" i="5"/>
  <c r="AC61" i="5"/>
  <c r="AB61" i="5"/>
  <c r="AA61" i="5"/>
  <c r="Z61" i="5"/>
  <c r="Y61" i="5"/>
  <c r="X61" i="5"/>
  <c r="K61" i="5"/>
  <c r="J61" i="5"/>
  <c r="I61" i="5"/>
  <c r="AE60" i="5"/>
  <c r="AD60" i="5"/>
  <c r="AC60" i="5"/>
  <c r="AB60" i="5"/>
  <c r="AA60" i="5"/>
  <c r="Z60" i="5"/>
  <c r="Y60" i="5"/>
  <c r="X60" i="5"/>
  <c r="K60" i="5"/>
  <c r="J60" i="5"/>
  <c r="I60" i="5"/>
  <c r="AE59" i="5"/>
  <c r="AD59" i="5"/>
  <c r="AC59" i="5"/>
  <c r="AB59" i="5"/>
  <c r="AA59" i="5"/>
  <c r="Z59" i="5"/>
  <c r="Y59" i="5"/>
  <c r="X59" i="5"/>
  <c r="K59" i="5"/>
  <c r="J59" i="5"/>
  <c r="I59" i="5"/>
  <c r="AE58" i="5"/>
  <c r="AD58" i="5"/>
  <c r="AC58" i="5"/>
  <c r="AB58" i="5"/>
  <c r="AA58" i="5"/>
  <c r="Z58" i="5"/>
  <c r="Y58" i="5"/>
  <c r="X58" i="5"/>
  <c r="K58" i="5"/>
  <c r="J58" i="5"/>
  <c r="I58" i="5"/>
  <c r="AE57" i="5"/>
  <c r="AD57" i="5"/>
  <c r="AC57" i="5"/>
  <c r="AB57" i="5"/>
  <c r="AA57" i="5"/>
  <c r="Z57" i="5"/>
  <c r="Y57" i="5"/>
  <c r="X57" i="5"/>
  <c r="K57" i="5"/>
  <c r="J57" i="5"/>
  <c r="I57" i="5"/>
  <c r="AE56" i="5"/>
  <c r="AD56" i="5"/>
  <c r="AC56" i="5"/>
  <c r="AB56" i="5"/>
  <c r="AA56" i="5"/>
  <c r="Z56" i="5"/>
  <c r="Y56" i="5"/>
  <c r="X56" i="5"/>
  <c r="K56" i="5"/>
  <c r="J56" i="5"/>
  <c r="I56" i="5"/>
  <c r="AE55" i="5"/>
  <c r="AD55" i="5"/>
  <c r="AC55" i="5"/>
  <c r="AB55" i="5"/>
  <c r="AA55" i="5"/>
  <c r="Z55" i="5"/>
  <c r="Y55" i="5"/>
  <c r="X55" i="5"/>
  <c r="K55" i="5"/>
  <c r="J55" i="5"/>
  <c r="I55" i="5"/>
  <c r="AE54" i="5"/>
  <c r="AD54" i="5"/>
  <c r="AC54" i="5"/>
  <c r="AB54" i="5"/>
  <c r="AA54" i="5"/>
  <c r="Z54" i="5"/>
  <c r="Y54" i="5"/>
  <c r="X54" i="5"/>
  <c r="K54" i="5"/>
  <c r="J54" i="5"/>
  <c r="I54" i="5"/>
  <c r="AE53" i="5"/>
  <c r="AD53" i="5"/>
  <c r="AC53" i="5"/>
  <c r="AB53" i="5"/>
  <c r="AA53" i="5"/>
  <c r="Z53" i="5"/>
  <c r="Y53" i="5"/>
  <c r="X53" i="5"/>
  <c r="K53" i="5"/>
  <c r="J53" i="5"/>
  <c r="I53" i="5"/>
  <c r="AE52" i="5"/>
  <c r="AD52" i="5"/>
  <c r="AC52" i="5"/>
  <c r="AB52" i="5"/>
  <c r="AA52" i="5"/>
  <c r="Z52" i="5"/>
  <c r="Y52" i="5"/>
  <c r="X52" i="5"/>
  <c r="K52" i="5"/>
  <c r="J52" i="5"/>
  <c r="I52" i="5"/>
  <c r="AE51" i="5"/>
  <c r="AD51" i="5"/>
  <c r="AC51" i="5"/>
  <c r="AB51" i="5"/>
  <c r="AA51" i="5"/>
  <c r="Z51" i="5"/>
  <c r="Y51" i="5"/>
  <c r="X51" i="5"/>
  <c r="K51" i="5"/>
  <c r="J51" i="5"/>
  <c r="I51" i="5"/>
  <c r="AE50" i="5"/>
  <c r="AD50" i="5"/>
  <c r="AC50" i="5"/>
  <c r="AB50" i="5"/>
  <c r="AA50" i="5"/>
  <c r="Z50" i="5"/>
  <c r="Y50" i="5"/>
  <c r="X50" i="5"/>
  <c r="K50" i="5"/>
  <c r="J50" i="5"/>
  <c r="I50" i="5"/>
  <c r="AE49" i="5"/>
  <c r="AD49" i="5"/>
  <c r="AC49" i="5"/>
  <c r="AB49" i="5"/>
  <c r="AA49" i="5"/>
  <c r="Z49" i="5"/>
  <c r="Y49" i="5"/>
  <c r="X49" i="5"/>
  <c r="K49" i="5"/>
  <c r="J49" i="5"/>
  <c r="I49" i="5"/>
  <c r="AE48" i="5"/>
  <c r="AD48" i="5"/>
  <c r="AC48" i="5"/>
  <c r="AB48" i="5"/>
  <c r="AA48" i="5"/>
  <c r="Z48" i="5"/>
  <c r="Y48" i="5"/>
  <c r="X48" i="5"/>
  <c r="K48" i="5"/>
  <c r="J48" i="5"/>
  <c r="I48" i="5"/>
  <c r="AE47" i="5"/>
  <c r="AD47" i="5"/>
  <c r="AC47" i="5"/>
  <c r="AB47" i="5"/>
  <c r="AA47" i="5"/>
  <c r="Z47" i="5"/>
  <c r="Y47" i="5"/>
  <c r="X47" i="5"/>
  <c r="K47" i="5"/>
  <c r="J47" i="5"/>
  <c r="I47" i="5"/>
  <c r="AE46" i="5"/>
  <c r="AD46" i="5"/>
  <c r="AC46" i="5"/>
  <c r="AB46" i="5"/>
  <c r="AA46" i="5"/>
  <c r="Z46" i="5"/>
  <c r="Y46" i="5"/>
  <c r="X46" i="5"/>
  <c r="K46" i="5"/>
  <c r="J46" i="5"/>
  <c r="I46" i="5"/>
  <c r="AE45" i="5"/>
  <c r="AD45" i="5"/>
  <c r="AC45" i="5"/>
  <c r="AB45" i="5"/>
  <c r="AA45" i="5"/>
  <c r="Z45" i="5"/>
  <c r="Y45" i="5"/>
  <c r="X45" i="5"/>
  <c r="K45" i="5"/>
  <c r="J45" i="5"/>
  <c r="I45" i="5"/>
  <c r="AE44" i="5"/>
  <c r="AD44" i="5"/>
  <c r="AC44" i="5"/>
  <c r="AB44" i="5"/>
  <c r="AA44" i="5"/>
  <c r="Z44" i="5"/>
  <c r="Y44" i="5"/>
  <c r="X44" i="5"/>
  <c r="K44" i="5"/>
  <c r="J44" i="5"/>
  <c r="I44" i="5"/>
  <c r="AE43" i="5"/>
  <c r="AD43" i="5"/>
  <c r="AC43" i="5"/>
  <c r="AB43" i="5"/>
  <c r="AA43" i="5"/>
  <c r="Z43" i="5"/>
  <c r="Y43" i="5"/>
  <c r="X43" i="5"/>
  <c r="K43" i="5"/>
  <c r="J43" i="5"/>
  <c r="I43" i="5"/>
  <c r="AE42" i="5"/>
  <c r="AD42" i="5"/>
  <c r="AC42" i="5"/>
  <c r="AB42" i="5"/>
  <c r="AA42" i="5"/>
  <c r="Z42" i="5"/>
  <c r="Y42" i="5"/>
  <c r="X42" i="5"/>
  <c r="K42" i="5"/>
  <c r="J42" i="5"/>
  <c r="I42" i="5"/>
  <c r="AE41" i="5"/>
  <c r="AD41" i="5"/>
  <c r="AC41" i="5"/>
  <c r="AB41" i="5"/>
  <c r="AA41" i="5"/>
  <c r="Z41" i="5"/>
  <c r="Y41" i="5"/>
  <c r="X41" i="5"/>
  <c r="K41" i="5"/>
  <c r="J41" i="5"/>
  <c r="I41" i="5"/>
  <c r="AE40" i="5"/>
  <c r="AD40" i="5"/>
  <c r="AC40" i="5"/>
  <c r="AB40" i="5"/>
  <c r="AA40" i="5"/>
  <c r="Z40" i="5"/>
  <c r="Y40" i="5"/>
  <c r="X40" i="5"/>
  <c r="K40" i="5"/>
  <c r="J40" i="5"/>
  <c r="I40" i="5"/>
  <c r="AE39" i="5"/>
  <c r="AD39" i="5"/>
  <c r="AC39" i="5"/>
  <c r="AB39" i="5"/>
  <c r="AA39" i="5"/>
  <c r="Z39" i="5"/>
  <c r="Y39" i="5"/>
  <c r="X39" i="5"/>
  <c r="K39" i="5"/>
  <c r="J39" i="5"/>
  <c r="I39" i="5"/>
  <c r="AE38" i="5"/>
  <c r="AD38" i="5"/>
  <c r="AC38" i="5"/>
  <c r="AB38" i="5"/>
  <c r="AA38" i="5"/>
  <c r="Z38" i="5"/>
  <c r="Y38" i="5"/>
  <c r="X38" i="5"/>
  <c r="K38" i="5"/>
  <c r="J38" i="5"/>
  <c r="I38" i="5"/>
  <c r="AE37" i="5"/>
  <c r="AD37" i="5"/>
  <c r="AC37" i="5"/>
  <c r="AB37" i="5"/>
  <c r="AA37" i="5"/>
  <c r="Z37" i="5"/>
  <c r="Y37" i="5"/>
  <c r="X37" i="5"/>
  <c r="K37" i="5"/>
  <c r="J37" i="5"/>
  <c r="I37" i="5"/>
  <c r="AE36" i="5"/>
  <c r="AD36" i="5"/>
  <c r="AC36" i="5"/>
  <c r="AB36" i="5"/>
  <c r="AA36" i="5"/>
  <c r="Z36" i="5"/>
  <c r="Y36" i="5"/>
  <c r="X36" i="5"/>
  <c r="K36" i="5"/>
  <c r="J36" i="5"/>
  <c r="I36" i="5"/>
  <c r="AE35" i="5"/>
  <c r="AD35" i="5"/>
  <c r="AC35" i="5"/>
  <c r="AB35" i="5"/>
  <c r="AA35" i="5"/>
  <c r="Z35" i="5"/>
  <c r="Y35" i="5"/>
  <c r="X35" i="5"/>
  <c r="K35" i="5"/>
  <c r="J35" i="5"/>
  <c r="I35" i="5"/>
  <c r="AE34" i="5"/>
  <c r="AD34" i="5"/>
  <c r="AC34" i="5"/>
  <c r="AB34" i="5"/>
  <c r="AA34" i="5"/>
  <c r="Z34" i="5"/>
  <c r="Y34" i="5"/>
  <c r="X34" i="5"/>
  <c r="K34" i="5"/>
  <c r="J34" i="5"/>
  <c r="I34" i="5"/>
  <c r="AE33" i="5"/>
  <c r="AD33" i="5"/>
  <c r="AC33" i="5"/>
  <c r="AB33" i="5"/>
  <c r="AA33" i="5"/>
  <c r="Z33" i="5"/>
  <c r="Y33" i="5"/>
  <c r="X33" i="5"/>
  <c r="K33" i="5"/>
  <c r="J33" i="5"/>
  <c r="I33" i="5"/>
  <c r="AE32" i="5"/>
  <c r="AD32" i="5"/>
  <c r="AC32" i="5"/>
  <c r="AB32" i="5"/>
  <c r="AA32" i="5"/>
  <c r="Z32" i="5"/>
  <c r="Y32" i="5"/>
  <c r="X32" i="5"/>
  <c r="K32" i="5"/>
  <c r="J32" i="5"/>
  <c r="I32" i="5"/>
  <c r="AE31" i="5"/>
  <c r="AD31" i="5"/>
  <c r="AC31" i="5"/>
  <c r="AB31" i="5"/>
  <c r="AA31" i="5"/>
  <c r="Z31" i="5"/>
  <c r="Y31" i="5"/>
  <c r="X31" i="5"/>
  <c r="K31" i="5"/>
  <c r="J31" i="5"/>
  <c r="I31" i="5"/>
  <c r="AE30" i="5"/>
  <c r="AD30" i="5"/>
  <c r="AC30" i="5"/>
  <c r="AB30" i="5"/>
  <c r="AA30" i="5"/>
  <c r="Z30" i="5"/>
  <c r="Y30" i="5"/>
  <c r="X30" i="5"/>
  <c r="K30" i="5"/>
  <c r="J30" i="5"/>
  <c r="I30" i="5"/>
  <c r="AE29" i="5"/>
  <c r="AD29" i="5"/>
  <c r="AC29" i="5"/>
  <c r="AB29" i="5"/>
  <c r="AA29" i="5"/>
  <c r="Z29" i="5"/>
  <c r="Y29" i="5"/>
  <c r="X29" i="5"/>
  <c r="K29" i="5"/>
  <c r="J29" i="5"/>
  <c r="I29" i="5"/>
  <c r="AE28" i="5"/>
  <c r="AD28" i="5"/>
  <c r="AC28" i="5"/>
  <c r="AB28" i="5"/>
  <c r="AA28" i="5"/>
  <c r="Z28" i="5"/>
  <c r="Y28" i="5"/>
  <c r="X28" i="5"/>
  <c r="K28" i="5"/>
  <c r="J28" i="5"/>
  <c r="I28" i="5"/>
  <c r="AE27" i="5"/>
  <c r="AD27" i="5"/>
  <c r="AC27" i="5"/>
  <c r="AB27" i="5"/>
  <c r="AA27" i="5"/>
  <c r="Z27" i="5"/>
  <c r="Y27" i="5"/>
  <c r="X27" i="5"/>
  <c r="K27" i="5"/>
  <c r="J27" i="5"/>
  <c r="I27" i="5"/>
  <c r="AE26" i="5"/>
  <c r="AD26" i="5"/>
  <c r="AC26" i="5"/>
  <c r="AB26" i="5"/>
  <c r="AA26" i="5"/>
  <c r="Z26" i="5"/>
  <c r="Y26" i="5"/>
  <c r="X26" i="5"/>
  <c r="K26" i="5"/>
  <c r="J26" i="5"/>
  <c r="I26" i="5"/>
  <c r="AE25" i="5"/>
  <c r="AD25" i="5"/>
  <c r="AC25" i="5"/>
  <c r="AB25" i="5"/>
  <c r="AA25" i="5"/>
  <c r="Z25" i="5"/>
  <c r="Y25" i="5"/>
  <c r="X25" i="5"/>
  <c r="K25" i="5"/>
  <c r="J25" i="5"/>
  <c r="I25" i="5"/>
  <c r="AE24" i="5"/>
  <c r="AD24" i="5"/>
  <c r="AC24" i="5"/>
  <c r="AB24" i="5"/>
  <c r="AA24" i="5"/>
  <c r="Z24" i="5"/>
  <c r="Y24" i="5"/>
  <c r="X24" i="5"/>
  <c r="K24" i="5"/>
  <c r="J24" i="5"/>
  <c r="I24" i="5"/>
  <c r="AE23" i="5"/>
  <c r="AD23" i="5"/>
  <c r="AC23" i="5"/>
  <c r="AB23" i="5"/>
  <c r="AA23" i="5"/>
  <c r="Z23" i="5"/>
  <c r="Y23" i="5"/>
  <c r="X23" i="5"/>
  <c r="K23" i="5"/>
  <c r="J23" i="5"/>
  <c r="I23" i="5"/>
  <c r="AE22" i="5"/>
  <c r="AD22" i="5"/>
  <c r="AC22" i="5"/>
  <c r="AB22" i="5"/>
  <c r="AA22" i="5"/>
  <c r="Z22" i="5"/>
  <c r="Y22" i="5"/>
  <c r="X22" i="5"/>
  <c r="K22" i="5"/>
  <c r="J22" i="5"/>
  <c r="I22" i="5"/>
  <c r="AE21" i="5"/>
  <c r="AD21" i="5"/>
  <c r="AC21" i="5"/>
  <c r="AB21" i="5"/>
  <c r="AA21" i="5"/>
  <c r="Z21" i="5"/>
  <c r="Y21" i="5"/>
  <c r="X21" i="5"/>
  <c r="K21" i="5"/>
  <c r="J21" i="5"/>
  <c r="I21" i="5"/>
  <c r="AE20" i="5"/>
  <c r="AD20" i="5"/>
  <c r="AC20" i="5"/>
  <c r="AB20" i="5"/>
  <c r="AA20" i="5"/>
  <c r="Z20" i="5"/>
  <c r="Y20" i="5"/>
  <c r="X20" i="5"/>
  <c r="K20" i="5"/>
  <c r="J20" i="5"/>
  <c r="I20" i="5"/>
  <c r="AE19" i="5"/>
  <c r="AD19" i="5"/>
  <c r="AC19" i="5"/>
  <c r="AB19" i="5"/>
  <c r="AA19" i="5"/>
  <c r="Z19" i="5"/>
  <c r="Y19" i="5"/>
  <c r="X19" i="5"/>
  <c r="K19" i="5"/>
  <c r="J19" i="5"/>
  <c r="I19" i="5"/>
  <c r="AE18" i="5"/>
  <c r="AD18" i="5"/>
  <c r="AC18" i="5"/>
  <c r="AB18" i="5"/>
  <c r="AA18" i="5"/>
  <c r="Z18" i="5"/>
  <c r="Y18" i="5"/>
  <c r="X18" i="5"/>
  <c r="K18" i="5"/>
  <c r="J18" i="5"/>
  <c r="I18" i="5"/>
  <c r="AE17" i="5"/>
  <c r="AD17" i="5"/>
  <c r="AC17" i="5"/>
  <c r="AB17" i="5"/>
  <c r="AA17" i="5"/>
  <c r="Z17" i="5"/>
  <c r="Y17" i="5"/>
  <c r="X17" i="5"/>
  <c r="K17" i="5"/>
  <c r="J17" i="5"/>
  <c r="I17" i="5"/>
  <c r="AE16" i="5"/>
  <c r="AD16" i="5"/>
  <c r="AC16" i="5"/>
  <c r="AB16" i="5"/>
  <c r="AA16" i="5"/>
  <c r="Z16" i="5"/>
  <c r="Y16" i="5"/>
  <c r="X16" i="5"/>
  <c r="K16" i="5"/>
  <c r="J16" i="5"/>
  <c r="I16" i="5"/>
  <c r="AE15" i="5"/>
  <c r="AD15" i="5"/>
  <c r="AC15" i="5"/>
  <c r="AB15" i="5"/>
  <c r="AA15" i="5"/>
  <c r="Z15" i="5"/>
  <c r="Y15" i="5"/>
  <c r="X15" i="5"/>
  <c r="K15" i="5"/>
  <c r="J15" i="5"/>
  <c r="I15" i="5"/>
  <c r="AE14" i="5"/>
  <c r="AD14" i="5"/>
  <c r="AC14" i="5"/>
  <c r="AB14" i="5"/>
  <c r="AA14" i="5"/>
  <c r="Z14" i="5"/>
  <c r="Y14" i="5"/>
  <c r="X14" i="5"/>
  <c r="K14" i="5"/>
  <c r="J14" i="5"/>
  <c r="I14" i="5"/>
  <c r="AE13" i="5"/>
  <c r="AD13" i="5"/>
  <c r="AC13" i="5"/>
  <c r="AB13" i="5"/>
  <c r="AA13" i="5"/>
  <c r="Z13" i="5"/>
  <c r="Y13" i="5"/>
  <c r="X13" i="5"/>
  <c r="K13" i="5"/>
  <c r="J13" i="5"/>
  <c r="I13" i="5"/>
  <c r="AE12" i="5"/>
  <c r="AD12" i="5"/>
  <c r="AC12" i="5"/>
  <c r="AB12" i="5"/>
  <c r="AA12" i="5"/>
  <c r="Z12" i="5"/>
  <c r="Y12" i="5"/>
  <c r="X12" i="5"/>
  <c r="K12" i="5"/>
  <c r="J12" i="5"/>
  <c r="I12" i="5"/>
  <c r="AE11" i="5"/>
  <c r="AD11" i="5"/>
  <c r="AC11" i="5"/>
  <c r="AB11" i="5"/>
  <c r="AA11" i="5"/>
  <c r="Z11" i="5"/>
  <c r="Y11" i="5"/>
  <c r="X11" i="5"/>
  <c r="K11" i="5"/>
  <c r="J11" i="5"/>
  <c r="I11" i="5"/>
  <c r="AE10" i="5"/>
  <c r="AD10" i="5"/>
  <c r="AC10" i="5"/>
  <c r="AB10" i="5"/>
  <c r="AA10" i="5"/>
  <c r="Z10" i="5"/>
  <c r="Y10" i="5"/>
  <c r="X10" i="5"/>
  <c r="K10" i="5"/>
  <c r="J10" i="5"/>
  <c r="I10" i="5"/>
  <c r="AE9" i="5"/>
  <c r="AD9" i="5"/>
  <c r="AC9" i="5"/>
  <c r="AB9" i="5"/>
  <c r="AA9" i="5"/>
  <c r="Z9" i="5"/>
  <c r="Y9" i="5"/>
  <c r="X9" i="5"/>
  <c r="K9" i="5"/>
  <c r="J9" i="5"/>
  <c r="I9" i="5"/>
  <c r="AE8" i="5"/>
  <c r="AD8" i="5"/>
  <c r="AC8" i="5"/>
  <c r="AB8" i="5"/>
  <c r="AA8" i="5"/>
  <c r="Z8" i="5"/>
  <c r="Y8" i="5"/>
  <c r="X8" i="5"/>
  <c r="K8" i="5"/>
  <c r="J8" i="5"/>
  <c r="I8" i="5"/>
  <c r="AE7" i="5"/>
  <c r="AD7" i="5"/>
  <c r="AC7" i="5"/>
  <c r="AB7" i="5"/>
  <c r="AA7" i="5"/>
  <c r="Z7" i="5"/>
  <c r="Y7" i="5"/>
  <c r="X7" i="5"/>
  <c r="K7" i="5"/>
  <c r="J7" i="5"/>
  <c r="I7" i="5"/>
  <c r="O6" i="5"/>
  <c r="C6" i="5"/>
  <c r="B6" i="5"/>
  <c r="D10" i="3"/>
  <c r="I67" i="2"/>
  <c r="F67" i="2"/>
  <c r="D9" i="3" s="1"/>
  <c r="E67" i="2"/>
  <c r="D67" i="2"/>
  <c r="C67" i="2"/>
  <c r="I66" i="2"/>
  <c r="H66" i="2"/>
  <c r="G66" i="2"/>
  <c r="I65" i="2"/>
  <c r="H65" i="2"/>
  <c r="G65" i="2"/>
  <c r="I64" i="2"/>
  <c r="H64" i="2"/>
  <c r="G64" i="2"/>
  <c r="I63" i="2"/>
  <c r="H63" i="2"/>
  <c r="G63" i="2"/>
  <c r="I62" i="2"/>
  <c r="H62" i="2"/>
  <c r="G62" i="2"/>
  <c r="I61" i="2"/>
  <c r="H61" i="2"/>
  <c r="H67" i="2" s="1"/>
  <c r="G61" i="2"/>
  <c r="G67" i="2" s="1"/>
  <c r="F56" i="2"/>
  <c r="D7" i="3" s="1"/>
  <c r="E56" i="2"/>
  <c r="D56" i="2"/>
  <c r="C56" i="2"/>
  <c r="I55" i="2"/>
  <c r="H55" i="2"/>
  <c r="G55" i="2"/>
  <c r="I54" i="2"/>
  <c r="H54" i="2"/>
  <c r="G54" i="2"/>
  <c r="I53" i="2"/>
  <c r="H53" i="2"/>
  <c r="G53" i="2"/>
  <c r="I52" i="2"/>
  <c r="H52" i="2"/>
  <c r="G52" i="2"/>
  <c r="I51" i="2"/>
  <c r="H51" i="2"/>
  <c r="G51" i="2"/>
  <c r="I50" i="2"/>
  <c r="I56" i="2" s="1"/>
  <c r="H50" i="2"/>
  <c r="H56" i="2" s="1"/>
  <c r="G50" i="2"/>
  <c r="G56" i="2" s="1"/>
  <c r="F45" i="2"/>
  <c r="D8" i="3" s="1"/>
  <c r="E45" i="2"/>
  <c r="D45" i="2"/>
  <c r="C45" i="2"/>
  <c r="I44" i="2"/>
  <c r="H44" i="2"/>
  <c r="G44" i="2"/>
  <c r="I43" i="2"/>
  <c r="H43" i="2"/>
  <c r="G43" i="2"/>
  <c r="I42" i="2"/>
  <c r="H42" i="2"/>
  <c r="G42" i="2"/>
  <c r="I41" i="2"/>
  <c r="H41" i="2"/>
  <c r="G41" i="2"/>
  <c r="I40" i="2"/>
  <c r="H40" i="2"/>
  <c r="G40" i="2"/>
  <c r="I39" i="2"/>
  <c r="I45" i="2" s="1"/>
  <c r="H39" i="2"/>
  <c r="H45" i="2" s="1"/>
  <c r="G39" i="2"/>
  <c r="G45" i="2" s="1"/>
  <c r="F34" i="2"/>
  <c r="E34" i="2"/>
  <c r="D34" i="2"/>
  <c r="C34" i="2"/>
  <c r="I33" i="2"/>
  <c r="H33" i="2"/>
  <c r="G33" i="2"/>
  <c r="I32" i="2"/>
  <c r="H32" i="2"/>
  <c r="G32" i="2"/>
  <c r="I31" i="2"/>
  <c r="H31" i="2"/>
  <c r="G31" i="2"/>
  <c r="I30" i="2"/>
  <c r="H30" i="2"/>
  <c r="G30" i="2"/>
  <c r="I29" i="2"/>
  <c r="H29" i="2"/>
  <c r="G29" i="2"/>
  <c r="I28" i="2"/>
  <c r="I34" i="2" s="1"/>
  <c r="H28" i="2"/>
  <c r="H34" i="2" s="1"/>
  <c r="G28" i="2"/>
  <c r="G34" i="2" s="1"/>
  <c r="F23" i="2"/>
  <c r="D6" i="3" s="1"/>
  <c r="E23" i="2"/>
  <c r="D23" i="2"/>
  <c r="C23" i="2"/>
  <c r="I22" i="2"/>
  <c r="H22" i="2"/>
  <c r="G22" i="2"/>
  <c r="I21" i="2"/>
  <c r="H21" i="2"/>
  <c r="G21" i="2"/>
  <c r="I20" i="2"/>
  <c r="H20" i="2"/>
  <c r="G20" i="2"/>
  <c r="I19" i="2"/>
  <c r="H19" i="2"/>
  <c r="G19" i="2"/>
  <c r="I18" i="2"/>
  <c r="H18" i="2"/>
  <c r="G18" i="2"/>
  <c r="I17" i="2"/>
  <c r="I23" i="2" s="1"/>
  <c r="H17" i="2"/>
  <c r="H23" i="2" s="1"/>
  <c r="G17" i="2"/>
  <c r="G23" i="2" s="1"/>
  <c r="F12" i="2"/>
  <c r="D5" i="3" s="1"/>
  <c r="E12" i="2"/>
  <c r="D12" i="2"/>
  <c r="C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I6" i="2"/>
  <c r="I12" i="2" s="1"/>
  <c r="H6" i="2"/>
  <c r="H12" i="2" s="1"/>
  <c r="G6" i="2"/>
  <c r="G12" i="2" s="1"/>
  <c r="L13" i="6" l="1"/>
  <c r="K13" i="6"/>
  <c r="I13" i="6"/>
  <c r="G13" i="6"/>
  <c r="F13" i="6"/>
  <c r="D13" i="6"/>
  <c r="C13" i="6"/>
  <c r="M13" i="6" s="1"/>
  <c r="L12" i="6"/>
  <c r="K12" i="6"/>
  <c r="I12" i="6"/>
  <c r="G12" i="6"/>
  <c r="F12" i="6"/>
  <c r="D12" i="6"/>
  <c r="C12" i="6"/>
  <c r="M12" i="6" s="1"/>
  <c r="L11" i="6"/>
  <c r="K11" i="6"/>
  <c r="I11" i="6"/>
  <c r="G11" i="6"/>
  <c r="F11" i="6"/>
  <c r="D11" i="6"/>
  <c r="C11" i="6"/>
  <c r="M11" i="6" s="1"/>
  <c r="L10" i="6"/>
  <c r="K10" i="6"/>
  <c r="I10" i="6"/>
  <c r="G10" i="6"/>
  <c r="F10" i="6"/>
  <c r="D10" i="6"/>
  <c r="C10" i="6"/>
  <c r="M10" i="6" s="1"/>
  <c r="L9" i="6"/>
  <c r="K9" i="6"/>
  <c r="I9" i="6"/>
  <c r="G9" i="6"/>
  <c r="F9" i="6"/>
  <c r="D9" i="6"/>
  <c r="C9" i="6"/>
  <c r="M9" i="6" s="1"/>
  <c r="L8" i="6"/>
  <c r="K8" i="6"/>
  <c r="I8" i="6"/>
  <c r="G8" i="6"/>
  <c r="F8" i="6"/>
  <c r="D8" i="6"/>
  <c r="C8" i="6"/>
  <c r="Z6" i="5"/>
  <c r="AD6" i="5"/>
  <c r="AC6" i="5"/>
  <c r="AB6" i="5"/>
  <c r="AA6" i="5"/>
  <c r="AE6" i="5" s="1"/>
  <c r="Y6" i="5"/>
  <c r="X6" i="5"/>
  <c r="I6" i="5"/>
  <c r="J6" i="5" s="1"/>
  <c r="K6" i="5" s="1"/>
  <c r="C15" i="6" l="1"/>
  <c r="M8" i="6"/>
  <c r="L1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3" authorId="0" shapeId="0" xr:uid="{00000000-0006-0000-0300-000001000000}">
      <text>
        <r>
          <rPr>
            <sz val="10"/>
            <rFont val="Arial"/>
            <family val="2"/>
          </rPr>
          <t>Premissa do usuário. Usada para converter a meta mensal de viagens em capacidade diária da frota.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5" authorId="0" shapeId="0" xr:uid="{00000000-0006-0000-0400-000001000000}">
      <text>
        <r>
          <rPr>
            <sz val="10"/>
            <rFont val="Arial"/>
            <family val="2"/>
          </rPr>
          <t>LINHA 6 = EXEMPLO. Apague os valores e comece a lançar. Uma linha por empresa por dia.</t>
        </r>
      </text>
    </comment>
  </commentList>
</comments>
</file>

<file path=xl/sharedStrings.xml><?xml version="1.0" encoding="utf-8"?>
<sst xmlns="http://schemas.openxmlformats.org/spreadsheetml/2006/main" count="370" uniqueCount="226">
  <si>
    <t>PAINEL DE GESTÃO LOGÍSTICA — FROTA PRÓPRIA x TRANSPREDI x TERCEIROS</t>
  </si>
  <si>
    <t>Base histórica: mai/26 a ago/26  •  Controle diário preventivo  •  Plano de ação</t>
  </si>
  <si>
    <t>ABA</t>
  </si>
  <si>
    <t>PARA QUE SERVE / O QUE FAZER</t>
  </si>
  <si>
    <t>Base Mai-Ago</t>
  </si>
  <si>
    <t>Histórico consolidado dos 6 indicadores nos 4 meses. Células em AZUL são os dados originais do relatório enviado; as variações são calculadas. Ao fechar um novo mês, insira uma coluna e replique as fórmulas.</t>
  </si>
  <si>
    <t>Diagnóstico</t>
  </si>
  <si>
    <t>Leitura dos números: o que melhorou, o que piorou e onde está o dinheiro. Somente leitura (fórmulas ligadas à aba Base).</t>
  </si>
  <si>
    <t>Parâmetros</t>
  </si>
  <si>
    <t>AJUSTE AQUI ANTES DE USAR. Metas por empresa, dias operacionais no mês e a tabela de motivos de terceirização (define o que é EVITÁVEL). Tudo em azul é editável.</t>
  </si>
  <si>
    <t>Controle Diário</t>
  </si>
  <si>
    <t>CORAÇÃO DO PROCESSO. Uma linha por empresa por dia. Preencher o BLOCO A (planejamento) até as 8h — ele acusa o gap de capacidade ANTES de contratar terceiro. Fechar os BLOCOS B e C no fim do dia. Os blocos cinza são calculados.</t>
  </si>
  <si>
    <t>Painel Diário</t>
  </si>
  <si>
    <t>Consolida o Controle Diário no período que você escolher e compara com a meta (semáforo). Só preencha as datas de início e fim.</t>
  </si>
  <si>
    <t>Plano de Ação</t>
  </si>
  <si>
    <t>5W2H das ações recomendadas. Atualize status e responsáveis semanalmente.</t>
  </si>
  <si>
    <t>LEGENDA DE CORES</t>
  </si>
  <si>
    <t>Azul</t>
  </si>
  <si>
    <t>Você preenche (dado de entrada ou premissa).</t>
  </si>
  <si>
    <t>Preto</t>
  </si>
  <si>
    <t>Calculado por fórmula — não digitar por cima.</t>
  </si>
  <si>
    <t>Fundo amarelo</t>
  </si>
  <si>
    <t>Meta / premissa crítica a validar com a operação.</t>
  </si>
  <si>
    <t>Verde / Vermelho</t>
  </si>
  <si>
    <t>Semáforo automático contra a meta da aba Parâmetros.</t>
  </si>
  <si>
    <t>OBSERVAÇÃO SOBRE A BASE</t>
  </si>
  <si>
    <t>Jun/26 e jul/26 aparecem com valores diferentes em relatórios de meses distintos (ex.: Salsaretti — 7,92 viagens no fechamento de junho x 9,08 no de julho). Foi adotado sempre o fechamento MAIS RECENTE de cada mês. Recomenda-se travar o fechamento mensal para eliminar reprocessamentos.</t>
  </si>
  <si>
    <t>BASE CONSOLIDADA — mai/26 a ago/26</t>
  </si>
  <si>
    <t>Média de Viagens por Veículo - Frota Própria</t>
  </si>
  <si>
    <t>Empresa</t>
  </si>
  <si>
    <t>mai/26</t>
  </si>
  <si>
    <t>jun/26</t>
  </si>
  <si>
    <t>jul/26</t>
  </si>
  <si>
    <t>ago/26</t>
  </si>
  <si>
    <t>Δ abs. mai→ago</t>
  </si>
  <si>
    <t>Δ% mai→ago</t>
  </si>
  <si>
    <t>Δ% jul→ago</t>
  </si>
  <si>
    <t>Predilecta</t>
  </si>
  <si>
    <t>Só Fruta</t>
  </si>
  <si>
    <t>Stella</t>
  </si>
  <si>
    <t>Salsaretti</t>
  </si>
  <si>
    <t>Minas Mais</t>
  </si>
  <si>
    <t>Nordeste Mais</t>
  </si>
  <si>
    <t>Média do grupo</t>
  </si>
  <si>
    <t>Custo do KM - Frota Própria (R$/km)</t>
  </si>
  <si>
    <t>Participação Frota Própria (%)</t>
  </si>
  <si>
    <t>Participação Transpredi (%)</t>
  </si>
  <si>
    <t>Participação de Terceiros (%)</t>
  </si>
  <si>
    <t>% Valor do Frete de Terceiros s/ Faturamento</t>
  </si>
  <si>
    <t>Fonte: relatório 'Destaca_Logístico_Mai_a_Jul.xlsx' (abas Junho, Julho e Agosto) enviado pelo usuário. Jun/26 e jul/26 refletem o fechamento mais recente disponível.</t>
  </si>
  <si>
    <t>DIAGNÓSTICO — mai/26 a ago/26</t>
  </si>
  <si>
    <t>#</t>
  </si>
  <si>
    <t>Achado</t>
  </si>
  <si>
    <t>Valor</t>
  </si>
  <si>
    <t>Leitura e implicação</t>
  </si>
  <si>
    <t>1</t>
  </si>
  <si>
    <t>Produtividade da frota subiu forte</t>
  </si>
  <si>
    <t>A média de viagens por veículo saiu de 8,05 (mai) para 10,68 (ago). Nordeste Mais +65%, Só Fruta +45%, Stella +33%. O ativo passou a girar mais — o esforço de utilização funcionou.</t>
  </si>
  <si>
    <t>2</t>
  </si>
  <si>
    <t>MAS o custo/km voltou a subir em agosto</t>
  </si>
  <si>
    <t>De mai a jul o custo/km caiu de R$ 5,24 para R$ 4,71 (-10%). Em agosto voltou a R$ 5,05. Cinco das seis empresas pioraram (Stella +15,0%, Predilecta +12,7%, Nordeste +11,9%). Mais viagens com custo/km maior sugere queda da distância média por viagem: a frota está absorvendo rota curta e o terceiro fica com a longa. VALIDAR com km médio por viagem.</t>
  </si>
  <si>
    <t>3</t>
  </si>
  <si>
    <t>Terceiros caíram 14,5 p.p. no período</t>
  </si>
  <si>
    <t>A participação de terceiros caiu de 57,6% (mai) para 43,1% (ago). Nordeste Mais é o destaque absoluto: 83,8% → 50,0% (-33,8 p.p.). Salsaretti: 64,2% → 41,9%.</t>
  </si>
  <si>
    <t>4</t>
  </si>
  <si>
    <t>Porém quem absorveu foi a Transpredi, não a frota</t>
  </si>
  <si>
    <t>Dos 14,5 p.p. que saíram de terceiros, 9,9 p.p. foram para a Transpredi e apenas 4,6 p.p. para a frota própria (32,2% → 36,9%). Ou seja, ~68% da redução foi TROCA DE FORNECEDOR, não aproveitamento de ativo. Casos críticos: Salsaretti (8,3% → 27,8%) e Nordeste Mais (0% → 26,2%) em dois meses.</t>
  </si>
  <si>
    <t>5</t>
  </si>
  <si>
    <t>A economia unitária não foi capturada</t>
  </si>
  <si>
    <t>O volume com terceiros caiu 25%, mas o % de frete de terceiros sobre faturamento ficou praticamente igual (10,24% → 10,35%). Predilecta piorou (12,03% → 12,24%) e Nordeste Mais também (9,50% → 10,45%), apesar de ter cortado 34 p.p. de volume. Sinal clássico de seleção adversa: internalizamos a carga fácil e o terceiro remanescente cobra caro pela rota ruim — sem renegociação de tabela.</t>
  </si>
  <si>
    <t>6</t>
  </si>
  <si>
    <t>Dispersão de custo entre empresas é grande</t>
  </si>
  <si>
    <t>Em agosto o custo/km vai de R$ 4,30 (Salsaretti) a R$ 5,77 (Minas Mais) — 34% de diferença. Minas Mais e Predilecta são as únicas com custo/km ACIMA de maio. Salsaretti é a única que melhorou em agosto (-6,7%), mas tem a menor participação de frota do grupo (30,3%).</t>
  </si>
  <si>
    <t>7</t>
  </si>
  <si>
    <t>Risco de governança do dado</t>
  </si>
  <si>
    <t>—</t>
  </si>
  <si>
    <t>Jun/26 e jul/26 foram reapresentados com números diferentes entre relatórios (Salsaretti: 7,92 → 9,08 viagens; participação de frota jul: 32,5% → 31,6%). Sem base travada, nenhuma meta é auditável.</t>
  </si>
  <si>
    <t>CONCLUSÃO</t>
  </si>
  <si>
    <t>O grupo ganhou PRODUTIVIDADE (viagens) e ganhou MIX (menos terceiros), mas não converteu isso em CUSTO. As três alavancas ainda abertas são: (a) parar a migração automática para Transpredi e testar preço contra terceiro e contra custo interno; (b) renegociar a tabela do terceiro remanescente, que hoje custa mais por unidade; (c) atacar a queda da distância média por viagem, que é o que está empurrando o custo/km para cima.</t>
  </si>
  <si>
    <t>PARÂMETROS E METAS — ajustar antes de operar</t>
  </si>
  <si>
    <t>Meta viagens/veíc./mês</t>
  </si>
  <si>
    <t>Teto custo R$/km</t>
  </si>
  <si>
    <t>Piso % Frota</t>
  </si>
  <si>
    <t>Teto % Transpredi</t>
  </si>
  <si>
    <t>Teto % Terceiros</t>
  </si>
  <si>
    <t>Teto % frete terc./fat.</t>
  </si>
  <si>
    <t>Piso ocupação %</t>
  </si>
  <si>
    <t>Motivo da contratação de terceiro</t>
  </si>
  <si>
    <t>Classificação</t>
  </si>
  <si>
    <t>Ação preventiva</t>
  </si>
  <si>
    <t>1. Pico de demanda não previsto</t>
  </si>
  <si>
    <t>Evitável</t>
  </si>
  <si>
    <t>Nivelar carteira: fechar corte de pedidos D-1 e alisar o pico da semana</t>
  </si>
  <si>
    <t>2. Veículo em manutenção corretiva</t>
  </si>
  <si>
    <t>Plano de manutenção preventiva e controle de disponibilidade da frota</t>
  </si>
  <si>
    <t>3. Falta de motorista / escala</t>
  </si>
  <si>
    <t>Escala reserva, banco de horas e cobertura de férias planejada</t>
  </si>
  <si>
    <t>4. Carga liberada fora da janela de roteirização</t>
  </si>
  <si>
    <t>Travar horário de liberação da produção/expedição</t>
  </si>
  <si>
    <t>5. Baixa ocupação — carga fracionada</t>
  </si>
  <si>
    <t>Parcial</t>
  </si>
  <si>
    <t>Consolidação de cargas, milk-run e agrupamento por região</t>
  </si>
  <si>
    <t>6. Sazonalidade / pico programado</t>
  </si>
  <si>
    <t>Contratar frota spot com antecedência e preço fechado</t>
  </si>
  <si>
    <t>Critério das metas: teto de custo/km e teto de % frete de terceiros = MELHOR mês realizado entre mai e ago/26. Piso de % frota = ago/26 + 4 p.p. Teto de % Transpredi = ago/26 (congelar). Ocupação de 90% é premissa — confirmar com a operação.</t>
  </si>
  <si>
    <t>7. Janela de entrega do cliente incompatível</t>
  </si>
  <si>
    <t>Renegociar janela ou agendamento com o cliente</t>
  </si>
  <si>
    <t>8. Rota fora da malha da frota</t>
  </si>
  <si>
    <t>Não evitável</t>
  </si>
  <si>
    <t>Avaliar backhaul, redespacho ou parceria dedicada</t>
  </si>
  <si>
    <t>Dias operacionais no mês</t>
  </si>
  <si>
    <t>Converte a meta mensal de viagens em capacidade/dia</t>
  </si>
  <si>
    <t>9. Avaria / sinistro</t>
  </si>
  <si>
    <t>Registrar e acompanhar em indicador de indisponibilidade</t>
  </si>
  <si>
    <t>10. Restrição legal / licença / cliente exclusivo</t>
  </si>
  <si>
    <t>Registrar para justificar o mix</t>
  </si>
  <si>
    <t>Limite de alerta do GAP (viagens)</t>
  </si>
  <si>
    <t>Acima disso o Controle Diário marca ATENÇÃO no início do dia</t>
  </si>
  <si>
    <t>'Evitável' = a contratação decorre de falha interna de planejamento. É esse número que deve ir a zero.</t>
  </si>
  <si>
    <t>Empresas</t>
  </si>
  <si>
    <t>Motivos</t>
  </si>
  <si>
    <t>CONTROLE DIÁRIO DAS OPERAÇÕES LOGÍSTICAS</t>
  </si>
  <si>
    <t>BLOCO A até as 8h (planejamento — é aqui que a terceirização é evitada)  •  BLOCOS B e C no fechamento do dia  •  BLOCO D é automático</t>
  </si>
  <si>
    <t>BLOCO A — PLANEJAMENTO (até 8h)</t>
  </si>
  <si>
    <t>BLOCO B — ALOCAÇÃO</t>
  </si>
  <si>
    <t>BLOCO C — REALIZADO (fechamento)</t>
  </si>
  <si>
    <t>BLOCO D — INDICADORES AUTOMÁTICOS</t>
  </si>
  <si>
    <t>Data</t>
  </si>
  <si>
    <t>Unidade / CD</t>
  </si>
  <si>
    <t>Cargas a expedir (nº)</t>
  </si>
  <si>
    <t>Peso previsto (t)</t>
  </si>
  <si>
    <t>Veíc. próprios disponíveis</t>
  </si>
  <si>
    <t>Veíc. parados / manutenção</t>
  </si>
  <si>
    <t>Capac. frota no dia (viagens)</t>
  </si>
  <si>
    <t>GAP frota vs meta do dia</t>
  </si>
  <si>
    <t>Risco de terceirização</t>
  </si>
  <si>
    <t>Cargas Frota</t>
  </si>
  <si>
    <t>Cargas Transpredi</t>
  </si>
  <si>
    <t>Cargas Terceiros</t>
  </si>
  <si>
    <t>Motivo principal do terceiro</t>
  </si>
  <si>
    <t>Cargas terceiro EVITÁVEIS (nº)</t>
  </si>
  <si>
    <t>Viagens realizadas frota</t>
  </si>
  <si>
    <t>KM rodado frota</t>
  </si>
  <si>
    <t>Custo total frota (R$)</t>
  </si>
  <si>
    <t>Custo total terceiros (R$)</t>
  </si>
  <si>
    <t>Valor NF expedida (R$)</t>
  </si>
  <si>
    <t>Ocupação média frota</t>
  </si>
  <si>
    <t>Retornos vazios (nº)</t>
  </si>
  <si>
    <t>% Frota</t>
  </si>
  <si>
    <t>% Transpredi</t>
  </si>
  <si>
    <t>% Terceiros</t>
  </si>
  <si>
    <t>Custo R$/km frota</t>
  </si>
  <si>
    <t>Viagens/veíc./dia</t>
  </si>
  <si>
    <t>% frete terc./fat.</t>
  </si>
  <si>
    <t>Custo EVITÁVEL do dia (R$)</t>
  </si>
  <si>
    <t>Status do dia</t>
  </si>
  <si>
    <t>CD Matão</t>
  </si>
  <si>
    <t>PAINEL DE ACOMPANHAMENTO — PERÍODO SELECIONADO</t>
  </si>
  <si>
    <t>Data inicial</t>
  </si>
  <si>
    <t>← altere as datas para recalcular todo o painel</t>
  </si>
  <si>
    <t>Data final</t>
  </si>
  <si>
    <t>Cargas expedidas</t>
  </si>
  <si>
    <t>Piso meta</t>
  </si>
  <si>
    <t>Teto meta</t>
  </si>
  <si>
    <t>Custo R$/km</t>
  </si>
  <si>
    <t>Custo evitável (R$)</t>
  </si>
  <si>
    <t>Semáforo</t>
  </si>
  <si>
    <t>Total do grupo</t>
  </si>
  <si>
    <t>← Custo evitável acumulado no período (R$)</t>
  </si>
  <si>
    <t>Motivos de terceirização no período</t>
  </si>
  <si>
    <t>Motivo</t>
  </si>
  <si>
    <t>Cargas</t>
  </si>
  <si>
    <t>PLANO DE AÇÃO — REDUÇÃO DE CUSTO E APROVEITAMENTO DE FROTA</t>
  </si>
  <si>
    <t>Ação (What)</t>
  </si>
  <si>
    <t>Por que / como (Why &amp; How)</t>
  </si>
  <si>
    <t>Área (Who)</t>
  </si>
  <si>
    <t>Prazo (When)</t>
  </si>
  <si>
    <t>Prioridade</t>
  </si>
  <si>
    <t>Indicador de sucesso</t>
  </si>
  <si>
    <t>Status</t>
  </si>
  <si>
    <t>Congelar a migração para a Transpredi e submetê-la a cotação</t>
  </si>
  <si>
    <t>68% da redução de terceiros virou Transpredi, não frota. Salsaretti saiu de 8,3% para 27,8% e Nordeste Mais de 0% para 26,2% em dois meses, sem evidência de que o custo por km/rota seja melhor. Comparar tabela Transpredi x 3 terceiros x custo interno por faixa de km.</t>
  </si>
  <si>
    <t>Logística + Suprimentos</t>
  </si>
  <si>
    <t>30 dias</t>
  </si>
  <si>
    <t>Alta</t>
  </si>
  <si>
    <t>Teto de % Transpredi respeitado nas 6 empresas</t>
  </si>
  <si>
    <t>A iniciar</t>
  </si>
  <si>
    <t>Renegociar a tabela do terceiro remanescente</t>
  </si>
  <si>
    <t>O volume com terceiros caiu 25% mas o % de frete sobre faturamento ficou parado em ~10,3%. Consolidar o volume das 6 empresas em uma cotação única, com tabela por faixa de km e região, e leilão eletrônico por rota.</t>
  </si>
  <si>
    <t>Suprimentos</t>
  </si>
  <si>
    <t>45 dias</t>
  </si>
  <si>
    <t>% frete terceiros/faturamento abaixo do teto por empresa</t>
  </si>
  <si>
    <t>Rebalancear rota curta x rota longa da frota</t>
  </si>
  <si>
    <t>As viagens subiram 32% mas o custo/km voltou a subir em agosto (+7,3% vs julho) — indício de queda da distância média por viagem. Medir km médio/viagem e realocar a frota para as rotas de maior km, devolvendo a rota curta/urbana ao terceiro spot.</t>
  </si>
  <si>
    <t>Planejamento de Transporte</t>
  </si>
  <si>
    <t>Custo/km ≤ teto e km médio/viagem crescente</t>
  </si>
  <si>
    <t>Plano de manutenção preventiva e meta de disponibilidade</t>
  </si>
  <si>
    <t>Veículo parado é a causa evitável mais cara: gera terceirização de emergência a preço de mercado. Definir meta de disponibilidade (ex.: 95%), agenda preventiva fora do pico e estoque mínimo de itens de giro.</t>
  </si>
  <si>
    <t>Manutenção</t>
  </si>
  <si>
    <t>60 dias</t>
  </si>
  <si>
    <t>Média</t>
  </si>
  <si>
    <t>Motivo 2 do Controle Diário zerado</t>
  </si>
  <si>
    <t>Travar o corte de pedidos em D-1 e roteirizar na véspera</t>
  </si>
  <si>
    <t>Carga liberada fora da janela de roteirização (motivo 4) força terceiro de última hora. Fixar horário de corte, roteirizar D-1 e só liberar terceiro com aprovação de gestor quando o GAP do Bloco A for crítico.</t>
  </si>
  <si>
    <t>Comercial + Logística</t>
  </si>
  <si>
    <t>Cargas terceiro evitáveis = 0</t>
  </si>
  <si>
    <t>Alçada de aprovação para contratação de terceiro</t>
  </si>
  <si>
    <t>Hoje a contratação é reativa. Exigir aprovação quando a linha do Controle Diário marcar motivo classificado como Evitável, com registro do custo diferencial.</t>
  </si>
  <si>
    <t>Logística</t>
  </si>
  <si>
    <t>15 dias</t>
  </si>
  <si>
    <t>100% das contratações com motivo registrado</t>
  </si>
  <si>
    <t>Programa de consolidação de carga e backhaul</t>
  </si>
  <si>
    <t>Baixa ocupação e retorno vazio derrubam a produtividade sem reduzir o custo fixo. Implantar milk-run regional, agrupamento por janela de cliente e busca ativa de frete de retorno.</t>
  </si>
  <si>
    <t>90 dias</t>
  </si>
  <si>
    <t>Ocupação ≥ 90% e retornos vazios em queda</t>
  </si>
  <si>
    <t>Plano específico Minas Mais e Predilecta</t>
  </si>
  <si>
    <t>São as duas únicas empresas com custo/km ACIMA de maio (5,77 e 5,25 em ago). Minas Mais combina o pior custo/km com 27,4% de Transpredi. Abrir análise de causa raiz por rota.</t>
  </si>
  <si>
    <t>Controladoria + Logística</t>
  </si>
  <si>
    <t>Custo/km das duas abaixo da média do grupo</t>
  </si>
  <si>
    <t>Replicar o caso Nordeste Mais</t>
  </si>
  <si>
    <t>Reduziu terceiros de 83,8% para 50,0% e subiu 65% em viagens — o melhor resultado do grupo. Documentar o que foi feito e transferir para Salsaretti, que ainda tem só 30,3% de frota.</t>
  </si>
  <si>
    <t>Salsaretti acima de 35% de frota</t>
  </si>
  <si>
    <t>Travar o fechamento mensal do indicador</t>
  </si>
  <si>
    <t>Jun/26 e jul/26 foram reapresentados com números diferentes entre relatórios. Definir data de corte, responsável pelo fechamento e versão única publicada.</t>
  </si>
  <si>
    <t>Controladoria</t>
  </si>
  <si>
    <t>Zero reapresentação de mês fechado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</si>
</sst>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4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0000FF"/>
      <name val="Arial"/>
      <charset val="1"/>
    </font>
    <font>
      <b/>
      <sz val="10"/>
      <color rgb="FF000000"/>
      <name val="Arial"/>
      <charset val="1"/>
    </font>
    <font>
      <b/>
      <sz val="11"/>
      <color rgb="FFFFFFFF"/>
      <name val="Arial"/>
      <charset val="1"/>
    </font>
    <font>
      <sz val="10"/>
      <color rgb="FF0000FF"/>
      <name val="Arial"/>
      <charset val="1"/>
    </font>
    <font>
      <i/>
      <sz val="9"/>
      <color rgb="FF595959"/>
      <name val="Arial"/>
      <charset val="1"/>
    </font>
    <font>
      <b/>
      <sz val="11"/>
      <color rgb="FFC00000"/>
      <name val="Arial"/>
      <charset val="1"/>
    </font>
    <font>
      <sz val="10"/>
      <name val="Arial"/>
      <family val="2"/>
    </font>
    <font>
      <b/>
      <sz val="9"/>
      <color rgb="FF1F3864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rgb="FF7B2D5E"/>
        <bgColor rgb="FF993366"/>
      </patternFill>
    </fill>
    <fill>
      <patternFill patternType="solid">
        <fgColor rgb="FFC55A11"/>
        <bgColor rgb="FF9C6500"/>
      </patternFill>
    </fill>
    <fill>
      <patternFill patternType="solid">
        <fgColor rgb="FFFFC7CE"/>
        <bgColor rgb="FFFFE699"/>
      </patternFill>
    </fill>
    <fill>
      <patternFill patternType="solid">
        <fgColor rgb="FFFFEB9C"/>
        <bgColor rgb="FFFFE699"/>
      </patternFill>
    </fill>
    <fill>
      <patternFill patternType="solid">
        <fgColor rgb="FFC6EFCE"/>
        <bgColor rgb="FFDDEBF7"/>
      </patternFill>
    </fill>
    <fill>
      <patternFill patternType="solid">
        <fgColor rgb="FF375623"/>
        <bgColor rgb="FF404040"/>
      </patternFill>
    </fill>
    <fill>
      <patternFill patternType="solid">
        <fgColor rgb="FF404040"/>
        <bgColor rgb="FF375623"/>
      </patternFill>
    </fill>
    <fill>
      <patternFill patternType="solid">
        <fgColor rgb="FFFFE699"/>
        <bgColor rgb="FFFFEB9C"/>
      </patternFill>
    </fill>
    <fill>
      <patternFill patternType="solid">
        <fgColor rgb="FFFFF2CC"/>
        <b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0" xfId="0" applyFont="1"/>
    <xf numFmtId="0" fontId="6" fillId="0" borderId="1" xfId="0" applyFont="1" applyBorder="1"/>
    <xf numFmtId="0" fontId="7" fillId="0" borderId="1" xfId="0" applyFont="1" applyBorder="1"/>
    <xf numFmtId="0" fontId="7" fillId="3" borderId="1" xfId="0" applyFont="1" applyFill="1" applyBorder="1"/>
    <xf numFmtId="0" fontId="5" fillId="0" borderId="0" xfId="0" applyFont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2" fontId="9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4" fillId="5" borderId="1" xfId="0" applyFont="1" applyFill="1" applyBorder="1"/>
    <xf numFmtId="2" fontId="4" fillId="5" borderId="1" xfId="0" applyNumberFormat="1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0" fontId="10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3" fillId="7" borderId="1" xfId="0" applyFont="1" applyFill="1" applyBorder="1" applyAlignment="1">
      <alignment horizontal="center" vertical="center" wrapText="1"/>
    </xf>
    <xf numFmtId="2" fontId="9" fillId="3" borderId="1" xfId="0" applyNumberFormat="1" applyFont="1" applyFill="1" applyBorder="1" applyAlignment="1">
      <alignment horizontal="center" vertical="center" wrapText="1"/>
    </xf>
    <xf numFmtId="164" fontId="9" fillId="3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14" fontId="9" fillId="14" borderId="1" xfId="0" applyNumberFormat="1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left" vertical="center" wrapText="1"/>
    </xf>
    <xf numFmtId="1" fontId="9" fillId="14" borderId="1" xfId="0" applyNumberFormat="1" applyFont="1" applyFill="1" applyBorder="1" applyAlignment="1">
      <alignment horizontal="center" vertical="center" wrapText="1"/>
    </xf>
    <xf numFmtId="165" fontId="9" fillId="14" borderId="1" xfId="0" applyNumberFormat="1" applyFont="1" applyFill="1" applyBorder="1" applyAlignment="1">
      <alignment horizontal="center" vertical="center" wrapText="1"/>
    </xf>
    <xf numFmtId="165" fontId="5" fillId="14" borderId="1" xfId="0" applyNumberFormat="1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left" vertical="center" wrapText="1"/>
    </xf>
    <xf numFmtId="3" fontId="9" fillId="14" borderId="1" xfId="0" applyNumberFormat="1" applyFont="1" applyFill="1" applyBorder="1" applyAlignment="1">
      <alignment horizontal="center" vertical="center" wrapText="1"/>
    </xf>
    <xf numFmtId="4" fontId="9" fillId="14" borderId="1" xfId="0" applyNumberFormat="1" applyFont="1" applyFill="1" applyBorder="1" applyAlignment="1">
      <alignment horizontal="center" vertical="center" wrapText="1"/>
    </xf>
    <xf numFmtId="164" fontId="9" fillId="14" borderId="1" xfId="0" applyNumberFormat="1" applyFont="1" applyFill="1" applyBorder="1" applyAlignment="1">
      <alignment horizontal="center" vertical="center" wrapText="1"/>
    </xf>
    <xf numFmtId="164" fontId="5" fillId="14" borderId="1" xfId="0" applyNumberFormat="1" applyFont="1" applyFill="1" applyBorder="1" applyAlignment="1">
      <alignment horizontal="center" vertical="center" wrapText="1"/>
    </xf>
    <xf numFmtId="2" fontId="5" fillId="14" borderId="1" xfId="0" applyNumberFormat="1" applyFont="1" applyFill="1" applyBorder="1" applyAlignment="1">
      <alignment horizontal="center" vertical="center" wrapText="1"/>
    </xf>
    <xf numFmtId="4" fontId="5" fillId="14" borderId="1" xfId="0" applyNumberFormat="1" applyFont="1" applyFill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4" fontId="9" fillId="0" borderId="1" xfId="0" applyNumberFormat="1" applyFont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2" fontId="5" fillId="4" borderId="1" xfId="0" applyNumberFormat="1" applyFont="1" applyFill="1" applyBorder="1" applyAlignment="1">
      <alignment horizontal="center" vertical="center" wrapText="1"/>
    </xf>
    <xf numFmtId="4" fontId="5" fillId="4" borderId="1" xfId="0" applyNumberFormat="1" applyFont="1" applyFill="1" applyBorder="1" applyAlignment="1">
      <alignment horizontal="center" vertical="center" wrapText="1"/>
    </xf>
    <xf numFmtId="14" fontId="9" fillId="3" borderId="1" xfId="0" applyNumberFormat="1" applyFont="1" applyFill="1" applyBorder="1"/>
    <xf numFmtId="3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 vertical="center" wrapText="1"/>
    </xf>
    <xf numFmtId="4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3" fontId="0" fillId="0" borderId="1" xfId="0" applyNumberForma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4" fillId="15" borderId="1" xfId="0" applyFont="1" applyFill="1" applyBorder="1"/>
    <xf numFmtId="2" fontId="9" fillId="15" borderId="1" xfId="0" applyNumberFormat="1" applyFont="1" applyFill="1" applyBorder="1" applyAlignment="1">
      <alignment horizontal="center" vertical="center" wrapText="1"/>
    </xf>
    <xf numFmtId="2" fontId="5" fillId="15" borderId="1" xfId="0" applyNumberFormat="1" applyFont="1" applyFill="1" applyBorder="1" applyAlignment="1">
      <alignment horizontal="center" vertical="center" wrapText="1"/>
    </xf>
    <xf numFmtId="164" fontId="5" fillId="1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6"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C00000"/>
        <name val="Arial"/>
        <charset val="1"/>
      </font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C00000"/>
        <name val="Arial"/>
        <charset val="1"/>
      </font>
    </dxf>
    <dxf>
      <font>
        <sz val="10"/>
        <color rgb="FFC00000"/>
        <name val="Arial"/>
        <charset val="1"/>
      </font>
    </dxf>
    <dxf>
      <font>
        <sz val="10"/>
        <color rgb="FFC00000"/>
        <name val="Arial"/>
        <charset val="1"/>
      </font>
    </dxf>
    <dxf>
      <font>
        <sz val="10"/>
        <color rgb="FFC00000"/>
        <name val="Arial"/>
        <charset val="1"/>
      </font>
    </dxf>
    <dxf>
      <font>
        <sz val="10"/>
        <color rgb="FFC00000"/>
        <name val="Arial"/>
        <charset val="1"/>
      </font>
    </dxf>
    <dxf>
      <font>
        <sz val="10"/>
        <color rgb="FFC00000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7B2D5E"/>
      <rgbColor rgb="FFFFF2CC"/>
      <rgbColor rgb="FFDDEBF7"/>
      <rgbColor rgb="FF660066"/>
      <rgbColor rgb="FFFF8080"/>
      <rgbColor rgb="FF0066CC"/>
      <rgbColor rgb="FFFFE69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9"/>
  <sheetViews>
    <sheetView showGridLines="0" topLeftCell="A9" zoomScaleNormal="100" workbookViewId="0"/>
  </sheetViews>
  <sheetFormatPr defaultColWidth="8.6640625" defaultRowHeight="14.4" x14ac:dyDescent="0.3"/>
  <cols>
    <col min="2" max="2" width="34" customWidth="1"/>
    <col min="3" max="3" width="95" customWidth="1"/>
  </cols>
  <sheetData>
    <row r="2" spans="2:3" ht="17.399999999999999" x14ac:dyDescent="0.3">
      <c r="B2" s="1" t="s">
        <v>0</v>
      </c>
    </row>
    <row r="3" spans="2:3" x14ac:dyDescent="0.3">
      <c r="B3" s="2" t="s">
        <v>1</v>
      </c>
    </row>
    <row r="5" spans="2:3" ht="19.5" customHeight="1" x14ac:dyDescent="0.3">
      <c r="B5" s="3" t="s">
        <v>2</v>
      </c>
      <c r="C5" s="3" t="s">
        <v>3</v>
      </c>
    </row>
    <row r="6" spans="2:3" ht="45.75" customHeight="1" x14ac:dyDescent="0.3">
      <c r="B6" s="4" t="s">
        <v>4</v>
      </c>
      <c r="C6" s="5" t="s">
        <v>5</v>
      </c>
    </row>
    <row r="7" spans="2:3" ht="45.75" customHeight="1" x14ac:dyDescent="0.3">
      <c r="B7" s="4" t="s">
        <v>6</v>
      </c>
      <c r="C7" s="5" t="s">
        <v>7</v>
      </c>
    </row>
    <row r="8" spans="2:3" ht="45.75" customHeight="1" x14ac:dyDescent="0.3">
      <c r="B8" s="4" t="s">
        <v>8</v>
      </c>
      <c r="C8" s="5" t="s">
        <v>9</v>
      </c>
    </row>
    <row r="9" spans="2:3" ht="45.75" customHeight="1" x14ac:dyDescent="0.3">
      <c r="B9" s="4" t="s">
        <v>10</v>
      </c>
      <c r="C9" s="5" t="s">
        <v>11</v>
      </c>
    </row>
    <row r="10" spans="2:3" ht="45.75" customHeight="1" x14ac:dyDescent="0.3">
      <c r="B10" s="4" t="s">
        <v>12</v>
      </c>
      <c r="C10" s="5" t="s">
        <v>13</v>
      </c>
    </row>
    <row r="11" spans="2:3" ht="45.75" customHeight="1" x14ac:dyDescent="0.3">
      <c r="B11" s="4" t="s">
        <v>14</v>
      </c>
      <c r="C11" s="5" t="s">
        <v>15</v>
      </c>
    </row>
    <row r="13" spans="2:3" x14ac:dyDescent="0.3">
      <c r="B13" s="6" t="s">
        <v>16</v>
      </c>
    </row>
    <row r="14" spans="2:3" x14ac:dyDescent="0.3">
      <c r="B14" s="7" t="s">
        <v>17</v>
      </c>
      <c r="C14" s="5" t="s">
        <v>18</v>
      </c>
    </row>
    <row r="15" spans="2:3" x14ac:dyDescent="0.3">
      <c r="B15" s="8" t="s">
        <v>19</v>
      </c>
      <c r="C15" s="5" t="s">
        <v>20</v>
      </c>
    </row>
    <row r="16" spans="2:3" x14ac:dyDescent="0.3">
      <c r="B16" s="9" t="s">
        <v>21</v>
      </c>
      <c r="C16" s="5" t="s">
        <v>22</v>
      </c>
    </row>
    <row r="17" spans="2:3" x14ac:dyDescent="0.3">
      <c r="B17" s="8" t="s">
        <v>23</v>
      </c>
      <c r="C17" s="5" t="s">
        <v>24</v>
      </c>
    </row>
    <row r="19" spans="2:3" ht="45.75" customHeight="1" x14ac:dyDescent="0.3">
      <c r="B19" s="6" t="s">
        <v>25</v>
      </c>
      <c r="C19" s="10" t="s"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70"/>
  <sheetViews>
    <sheetView showGridLines="0" tabSelected="1" zoomScaleNormal="100" workbookViewId="0">
      <selection activeCell="J2" sqref="J2"/>
    </sheetView>
  </sheetViews>
  <sheetFormatPr defaultColWidth="8.6640625" defaultRowHeight="14.4" x14ac:dyDescent="0.3"/>
  <cols>
    <col min="2" max="2" width="20" customWidth="1"/>
    <col min="3" max="9" width="12.44140625" customWidth="1"/>
  </cols>
  <sheetData>
    <row r="2" spans="2:9" ht="17.399999999999999" x14ac:dyDescent="0.3">
      <c r="B2" s="1" t="s">
        <v>27</v>
      </c>
    </row>
    <row r="4" spans="2:9" ht="19.5" customHeight="1" x14ac:dyDescent="0.3">
      <c r="B4" s="72" t="s">
        <v>28</v>
      </c>
      <c r="C4" s="72"/>
      <c r="D4" s="72"/>
      <c r="E4" s="72"/>
      <c r="F4" s="72"/>
      <c r="G4" s="72"/>
      <c r="H4" s="72"/>
      <c r="I4" s="72"/>
    </row>
    <row r="5" spans="2:9" ht="27.75" customHeight="1" x14ac:dyDescent="0.3">
      <c r="B5" s="11" t="s">
        <v>29</v>
      </c>
      <c r="C5" s="11" t="s">
        <v>30</v>
      </c>
      <c r="D5" s="11" t="s">
        <v>31</v>
      </c>
      <c r="E5" s="11" t="s">
        <v>32</v>
      </c>
      <c r="F5" s="11" t="s">
        <v>33</v>
      </c>
      <c r="G5" s="11" t="s">
        <v>34</v>
      </c>
      <c r="H5" s="11" t="s">
        <v>35</v>
      </c>
      <c r="I5" s="11" t="s">
        <v>36</v>
      </c>
    </row>
    <row r="6" spans="2:9" x14ac:dyDescent="0.3">
      <c r="B6" s="12" t="s">
        <v>37</v>
      </c>
      <c r="C6" s="13">
        <v>9.0500000000000007</v>
      </c>
      <c r="D6" s="13">
        <v>9.51</v>
      </c>
      <c r="E6" s="13">
        <v>9.74</v>
      </c>
      <c r="F6" s="13">
        <v>10.35</v>
      </c>
      <c r="G6" s="14">
        <f t="shared" ref="G6:G11" si="0">F6-C6</f>
        <v>1.2999999999999989</v>
      </c>
      <c r="H6" s="15">
        <f t="shared" ref="H6:H11" si="1">IFERROR(F6/C6-1,"n/a")</f>
        <v>0.14364640883977886</v>
      </c>
      <c r="I6" s="15">
        <f t="shared" ref="I6:I11" si="2">IFERROR(F6/E6-1,"n/a")</f>
        <v>6.262833675564683E-2</v>
      </c>
    </row>
    <row r="7" spans="2:9" x14ac:dyDescent="0.3">
      <c r="B7" s="12" t="s">
        <v>38</v>
      </c>
      <c r="C7" s="13">
        <v>7.37</v>
      </c>
      <c r="D7" s="13">
        <v>8.36</v>
      </c>
      <c r="E7" s="13">
        <v>9.33</v>
      </c>
      <c r="F7" s="13">
        <v>10.67</v>
      </c>
      <c r="G7" s="14">
        <f t="shared" si="0"/>
        <v>3.3</v>
      </c>
      <c r="H7" s="15">
        <f t="shared" si="1"/>
        <v>0.44776119402985071</v>
      </c>
      <c r="I7" s="15">
        <f t="shared" si="2"/>
        <v>0.14362272240085749</v>
      </c>
    </row>
    <row r="8" spans="2:9" x14ac:dyDescent="0.3">
      <c r="B8" s="12" t="s">
        <v>39</v>
      </c>
      <c r="C8" s="13">
        <v>7.65</v>
      </c>
      <c r="D8" s="13">
        <v>8.67</v>
      </c>
      <c r="E8" s="13">
        <v>10.71</v>
      </c>
      <c r="F8" s="13">
        <v>10.19</v>
      </c>
      <c r="G8" s="14">
        <f t="shared" si="0"/>
        <v>2.5399999999999991</v>
      </c>
      <c r="H8" s="15">
        <f t="shared" si="1"/>
        <v>0.3320261437908496</v>
      </c>
      <c r="I8" s="15">
        <f t="shared" si="2"/>
        <v>-4.8552754435107537E-2</v>
      </c>
    </row>
    <row r="9" spans="2:9" x14ac:dyDescent="0.3">
      <c r="B9" s="12" t="s">
        <v>40</v>
      </c>
      <c r="C9" s="13">
        <v>7.75</v>
      </c>
      <c r="D9" s="13">
        <v>9.08</v>
      </c>
      <c r="E9" s="13">
        <v>9.58</v>
      </c>
      <c r="F9" s="13">
        <v>10.17</v>
      </c>
      <c r="G9" s="14">
        <f t="shared" si="0"/>
        <v>2.42</v>
      </c>
      <c r="H9" s="15">
        <f t="shared" si="1"/>
        <v>0.31225806451612903</v>
      </c>
      <c r="I9" s="15">
        <f t="shared" si="2"/>
        <v>6.1586638830897655E-2</v>
      </c>
    </row>
    <row r="10" spans="2:9" x14ac:dyDescent="0.3">
      <c r="B10" s="12" t="s">
        <v>41</v>
      </c>
      <c r="C10" s="13">
        <v>8.8000000000000007</v>
      </c>
      <c r="D10" s="13">
        <v>8.52</v>
      </c>
      <c r="E10" s="13">
        <v>10.24</v>
      </c>
      <c r="F10" s="13">
        <v>10.050000000000001</v>
      </c>
      <c r="G10" s="14">
        <f t="shared" si="0"/>
        <v>1.25</v>
      </c>
      <c r="H10" s="15">
        <f t="shared" si="1"/>
        <v>0.14204545454545459</v>
      </c>
      <c r="I10" s="15">
        <f t="shared" si="2"/>
        <v>-1.85546875E-2</v>
      </c>
    </row>
    <row r="11" spans="2:9" x14ac:dyDescent="0.3">
      <c r="B11" s="12" t="s">
        <v>42</v>
      </c>
      <c r="C11" s="13">
        <v>7.67</v>
      </c>
      <c r="D11" s="13">
        <v>11.67</v>
      </c>
      <c r="E11" s="13">
        <v>12</v>
      </c>
      <c r="F11" s="13">
        <v>12.67</v>
      </c>
      <c r="G11" s="14">
        <f t="shared" si="0"/>
        <v>5</v>
      </c>
      <c r="H11" s="15">
        <f t="shared" si="1"/>
        <v>0.65189048239895708</v>
      </c>
      <c r="I11" s="15">
        <f t="shared" si="2"/>
        <v>5.5833333333333401E-2</v>
      </c>
    </row>
    <row r="12" spans="2:9" x14ac:dyDescent="0.3">
      <c r="B12" s="16" t="s">
        <v>43</v>
      </c>
      <c r="C12" s="17">
        <f t="shared" ref="C12:I12" si="3">IFERROR(AVERAGE(C6:C11),"")</f>
        <v>8.0483333333333338</v>
      </c>
      <c r="D12" s="17">
        <f t="shared" si="3"/>
        <v>9.3016666666666676</v>
      </c>
      <c r="E12" s="17">
        <f t="shared" si="3"/>
        <v>10.266666666666667</v>
      </c>
      <c r="F12" s="17">
        <f t="shared" si="3"/>
        <v>10.683333333333335</v>
      </c>
      <c r="G12" s="17">
        <f t="shared" si="3"/>
        <v>2.6349999999999998</v>
      </c>
      <c r="H12" s="18">
        <f t="shared" si="3"/>
        <v>0.33827129135350331</v>
      </c>
      <c r="I12" s="18">
        <f t="shared" si="3"/>
        <v>4.2760598230937974E-2</v>
      </c>
    </row>
    <row r="15" spans="2:9" ht="19.5" customHeight="1" x14ac:dyDescent="0.3">
      <c r="B15" s="72" t="s">
        <v>44</v>
      </c>
      <c r="C15" s="72"/>
      <c r="D15" s="72"/>
      <c r="E15" s="72"/>
      <c r="F15" s="72"/>
      <c r="G15" s="72"/>
      <c r="H15" s="72"/>
      <c r="I15" s="72"/>
    </row>
    <row r="16" spans="2:9" ht="27.75" customHeight="1" x14ac:dyDescent="0.3">
      <c r="B16" s="11" t="s">
        <v>29</v>
      </c>
      <c r="C16" s="11" t="s">
        <v>30</v>
      </c>
      <c r="D16" s="11" t="s">
        <v>31</v>
      </c>
      <c r="E16" s="11" t="s">
        <v>32</v>
      </c>
      <c r="F16" s="11" t="s">
        <v>33</v>
      </c>
      <c r="G16" s="11" t="s">
        <v>34</v>
      </c>
      <c r="H16" s="11" t="s">
        <v>35</v>
      </c>
      <c r="I16" s="11" t="s">
        <v>36</v>
      </c>
    </row>
    <row r="17" spans="2:9" x14ac:dyDescent="0.3">
      <c r="B17" s="12" t="s">
        <v>37</v>
      </c>
      <c r="C17" s="13">
        <v>5.01</v>
      </c>
      <c r="D17" s="13">
        <v>4.7</v>
      </c>
      <c r="E17" s="13">
        <v>4.66</v>
      </c>
      <c r="F17" s="13">
        <v>5.25</v>
      </c>
      <c r="G17" s="14">
        <f t="shared" ref="G17:G22" si="4">F17-C17</f>
        <v>0.24000000000000021</v>
      </c>
      <c r="H17" s="15">
        <f t="shared" ref="H17:H22" si="5">IFERROR(F17/C17-1,"n/a")</f>
        <v>4.7904191616766401E-2</v>
      </c>
      <c r="I17" s="15">
        <f t="shared" ref="I17:I22" si="6">IFERROR(F17/E17-1,"n/a")</f>
        <v>0.12660944206008584</v>
      </c>
    </row>
    <row r="18" spans="2:9" x14ac:dyDescent="0.3">
      <c r="B18" s="12" t="s">
        <v>38</v>
      </c>
      <c r="C18" s="13">
        <v>6.06</v>
      </c>
      <c r="D18" s="13">
        <v>5.81</v>
      </c>
      <c r="E18" s="13">
        <v>5.34</v>
      </c>
      <c r="F18" s="13">
        <v>5.54</v>
      </c>
      <c r="G18" s="14">
        <f t="shared" si="4"/>
        <v>-0.51999999999999957</v>
      </c>
      <c r="H18" s="15">
        <f t="shared" si="5"/>
        <v>-8.5808580858085737E-2</v>
      </c>
      <c r="I18" s="15">
        <f t="shared" si="6"/>
        <v>3.7453183520599342E-2</v>
      </c>
    </row>
    <row r="19" spans="2:9" x14ac:dyDescent="0.3">
      <c r="B19" s="79" t="s">
        <v>39</v>
      </c>
      <c r="C19" s="80">
        <v>5.4</v>
      </c>
      <c r="D19" s="80">
        <v>4.9800000000000004</v>
      </c>
      <c r="E19" s="80">
        <v>4.2</v>
      </c>
      <c r="F19" s="80">
        <v>4.83</v>
      </c>
      <c r="G19" s="81">
        <f t="shared" si="4"/>
        <v>-0.57000000000000028</v>
      </c>
      <c r="H19" s="82">
        <f t="shared" si="5"/>
        <v>-0.10555555555555562</v>
      </c>
      <c r="I19" s="82">
        <f t="shared" si="6"/>
        <v>0.14999999999999991</v>
      </c>
    </row>
    <row r="20" spans="2:9" x14ac:dyDescent="0.3">
      <c r="B20" s="12" t="s">
        <v>40</v>
      </c>
      <c r="C20" s="13">
        <v>4.58</v>
      </c>
      <c r="D20" s="13">
        <v>4.7699999999999996</v>
      </c>
      <c r="E20" s="13">
        <v>4.6100000000000003</v>
      </c>
      <c r="F20" s="13">
        <v>4.3</v>
      </c>
      <c r="G20" s="14">
        <f t="shared" si="4"/>
        <v>-0.28000000000000025</v>
      </c>
      <c r="H20" s="15">
        <f t="shared" si="5"/>
        <v>-6.1135371179039333E-2</v>
      </c>
      <c r="I20" s="15">
        <f t="shared" si="6"/>
        <v>-6.7245119305856971E-2</v>
      </c>
    </row>
    <row r="21" spans="2:9" x14ac:dyDescent="0.3">
      <c r="B21" s="12" t="s">
        <v>41</v>
      </c>
      <c r="C21" s="13">
        <v>5.44</v>
      </c>
      <c r="D21" s="13">
        <v>5.72</v>
      </c>
      <c r="E21" s="13">
        <v>5.32</v>
      </c>
      <c r="F21" s="13">
        <v>5.77</v>
      </c>
      <c r="G21" s="14">
        <f t="shared" si="4"/>
        <v>0.32999999999999918</v>
      </c>
      <c r="H21" s="15">
        <f t="shared" si="5"/>
        <v>6.0661764705882248E-2</v>
      </c>
      <c r="I21" s="15">
        <f t="shared" si="6"/>
        <v>8.4586466165413432E-2</v>
      </c>
    </row>
    <row r="22" spans="2:9" x14ac:dyDescent="0.3">
      <c r="B22" s="12" t="s">
        <v>42</v>
      </c>
      <c r="C22" s="13">
        <v>4.95</v>
      </c>
      <c r="D22" s="13">
        <v>4.84</v>
      </c>
      <c r="E22" s="13">
        <v>4.12</v>
      </c>
      <c r="F22" s="13">
        <v>4.6100000000000003</v>
      </c>
      <c r="G22" s="14">
        <f t="shared" si="4"/>
        <v>-0.33999999999999986</v>
      </c>
      <c r="H22" s="15">
        <f t="shared" si="5"/>
        <v>-6.8686868686868685E-2</v>
      </c>
      <c r="I22" s="15">
        <f t="shared" si="6"/>
        <v>0.11893203883495151</v>
      </c>
    </row>
    <row r="23" spans="2:9" x14ac:dyDescent="0.3">
      <c r="B23" s="16" t="s">
        <v>43</v>
      </c>
      <c r="C23" s="17">
        <f t="shared" ref="C23:I23" si="7">IFERROR(AVERAGE(C17:C22),"")</f>
        <v>5.2399999999999993</v>
      </c>
      <c r="D23" s="17">
        <f t="shared" si="7"/>
        <v>5.1366666666666658</v>
      </c>
      <c r="E23" s="17">
        <f t="shared" si="7"/>
        <v>4.708333333333333</v>
      </c>
      <c r="F23" s="17">
        <f t="shared" si="7"/>
        <v>5.05</v>
      </c>
      <c r="G23" s="17">
        <f t="shared" si="7"/>
        <v>-0.19000000000000009</v>
      </c>
      <c r="H23" s="18">
        <f t="shared" si="7"/>
        <v>-3.5436736659483457E-2</v>
      </c>
      <c r="I23" s="18">
        <f t="shared" si="7"/>
        <v>7.505600187919885E-2</v>
      </c>
    </row>
    <row r="26" spans="2:9" ht="19.5" customHeight="1" x14ac:dyDescent="0.3">
      <c r="B26" s="73" t="s">
        <v>45</v>
      </c>
      <c r="C26" s="73"/>
      <c r="D26" s="73"/>
      <c r="E26" s="73"/>
      <c r="F26" s="73"/>
      <c r="G26" s="73"/>
      <c r="H26" s="73"/>
      <c r="I26" s="73"/>
    </row>
    <row r="27" spans="2:9" ht="27.75" customHeight="1" x14ac:dyDescent="0.3">
      <c r="B27" s="11" t="s">
        <v>29</v>
      </c>
      <c r="C27" s="11" t="s">
        <v>30</v>
      </c>
      <c r="D27" s="11" t="s">
        <v>31</v>
      </c>
      <c r="E27" s="11" t="s">
        <v>32</v>
      </c>
      <c r="F27" s="11" t="s">
        <v>33</v>
      </c>
      <c r="G27" s="11" t="s">
        <v>34</v>
      </c>
      <c r="H27" s="11" t="s">
        <v>35</v>
      </c>
      <c r="I27" s="11" t="s">
        <v>36</v>
      </c>
    </row>
    <row r="28" spans="2:9" x14ac:dyDescent="0.3">
      <c r="B28" s="12" t="s">
        <v>37</v>
      </c>
      <c r="C28" s="19">
        <v>0.41560000000000002</v>
      </c>
      <c r="D28" s="19">
        <v>0.44350000000000001</v>
      </c>
      <c r="E28" s="19">
        <v>0.40050000000000002</v>
      </c>
      <c r="F28" s="19">
        <v>0.43980000000000002</v>
      </c>
      <c r="G28" s="15">
        <f t="shared" ref="G28:G33" si="8">F28-C28</f>
        <v>2.4199999999999999E-2</v>
      </c>
      <c r="H28" s="15">
        <f t="shared" ref="H28:H33" si="9">IFERROR(F28/C28-1,"n/a")</f>
        <v>5.8229066410009578E-2</v>
      </c>
      <c r="I28" s="15">
        <f t="shared" ref="I28:I33" si="10">IFERROR(F28/E28-1,"n/a")</f>
        <v>9.8127340823970011E-2</v>
      </c>
    </row>
    <row r="29" spans="2:9" x14ac:dyDescent="0.3">
      <c r="B29" s="12" t="s">
        <v>38</v>
      </c>
      <c r="C29" s="19">
        <v>0.36299999999999999</v>
      </c>
      <c r="D29" s="19">
        <v>0.43730000000000002</v>
      </c>
      <c r="E29" s="19">
        <v>0.40050000000000002</v>
      </c>
      <c r="F29" s="19">
        <v>0.45800000000000002</v>
      </c>
      <c r="G29" s="15">
        <f t="shared" si="8"/>
        <v>9.5000000000000029E-2</v>
      </c>
      <c r="H29" s="15">
        <f t="shared" si="9"/>
        <v>0.26170798898071634</v>
      </c>
      <c r="I29" s="15">
        <f t="shared" si="10"/>
        <v>0.1435705368289637</v>
      </c>
    </row>
    <row r="30" spans="2:9" x14ac:dyDescent="0.3">
      <c r="B30" s="12" t="s">
        <v>39</v>
      </c>
      <c r="C30" s="19">
        <v>0.37019999999999997</v>
      </c>
      <c r="D30" s="19">
        <v>0.43290000000000001</v>
      </c>
      <c r="E30" s="19">
        <v>0.4234</v>
      </c>
      <c r="F30" s="19">
        <v>0.40639999999999998</v>
      </c>
      <c r="G30" s="15">
        <f t="shared" si="8"/>
        <v>3.620000000000001E-2</v>
      </c>
      <c r="H30" s="15">
        <f t="shared" si="9"/>
        <v>9.778498109130207E-2</v>
      </c>
      <c r="I30" s="15">
        <f t="shared" si="10"/>
        <v>-4.0151157298063289E-2</v>
      </c>
    </row>
    <row r="31" spans="2:9" x14ac:dyDescent="0.3">
      <c r="B31" s="12" t="s">
        <v>40</v>
      </c>
      <c r="C31" s="19">
        <v>0.26429999999999998</v>
      </c>
      <c r="D31" s="19">
        <v>0.30969999999999998</v>
      </c>
      <c r="E31" s="19">
        <v>0.316</v>
      </c>
      <c r="F31" s="19">
        <v>0.30249999999999999</v>
      </c>
      <c r="G31" s="15">
        <f t="shared" si="8"/>
        <v>3.8200000000000012E-2</v>
      </c>
      <c r="H31" s="15">
        <f t="shared" si="9"/>
        <v>0.14453272796065075</v>
      </c>
      <c r="I31" s="15">
        <f t="shared" si="10"/>
        <v>-4.2721518987341778E-2</v>
      </c>
    </row>
    <row r="32" spans="2:9" x14ac:dyDescent="0.3">
      <c r="B32" s="12" t="s">
        <v>41</v>
      </c>
      <c r="C32" s="19">
        <v>0.35730000000000001</v>
      </c>
      <c r="D32" s="19">
        <v>0.41349999999999998</v>
      </c>
      <c r="E32" s="19">
        <v>0.30869999999999997</v>
      </c>
      <c r="F32" s="19">
        <v>0.36609999999999998</v>
      </c>
      <c r="G32" s="15">
        <f t="shared" si="8"/>
        <v>8.7999999999999745E-3</v>
      </c>
      <c r="H32" s="15">
        <f t="shared" si="9"/>
        <v>2.4629163168205848E-2</v>
      </c>
      <c r="I32" s="15">
        <f t="shared" si="10"/>
        <v>0.18594104308390036</v>
      </c>
    </row>
    <row r="33" spans="2:9" x14ac:dyDescent="0.3">
      <c r="B33" s="12" t="s">
        <v>42</v>
      </c>
      <c r="C33" s="19">
        <v>0.16250000000000001</v>
      </c>
      <c r="D33" s="19">
        <v>0.2432</v>
      </c>
      <c r="E33" s="19">
        <v>0.1865</v>
      </c>
      <c r="F33" s="19">
        <v>0.2382</v>
      </c>
      <c r="G33" s="15">
        <f t="shared" si="8"/>
        <v>7.569999999999999E-2</v>
      </c>
      <c r="H33" s="15">
        <f t="shared" si="9"/>
        <v>0.4658461538461538</v>
      </c>
      <c r="I33" s="15">
        <f t="shared" si="10"/>
        <v>0.27721179624664871</v>
      </c>
    </row>
    <row r="34" spans="2:9" x14ac:dyDescent="0.3">
      <c r="B34" s="16" t="s">
        <v>43</v>
      </c>
      <c r="C34" s="18">
        <f t="shared" ref="C34:I34" si="11">IFERROR(AVERAGE(C28:C33),"")</f>
        <v>0.32214999999999999</v>
      </c>
      <c r="D34" s="18">
        <f t="shared" si="11"/>
        <v>0.38001666666666667</v>
      </c>
      <c r="E34" s="18">
        <f t="shared" si="11"/>
        <v>0.33926666666666666</v>
      </c>
      <c r="F34" s="18">
        <f t="shared" si="11"/>
        <v>0.36849999999999999</v>
      </c>
      <c r="G34" s="18">
        <f t="shared" si="11"/>
        <v>4.6350000000000002E-2</v>
      </c>
      <c r="H34" s="18">
        <f t="shared" si="11"/>
        <v>0.17545501357617307</v>
      </c>
      <c r="I34" s="18">
        <f t="shared" si="11"/>
        <v>0.10366300678301295</v>
      </c>
    </row>
    <row r="37" spans="2:9" ht="19.5" customHeight="1" x14ac:dyDescent="0.3">
      <c r="B37" s="73" t="s">
        <v>46</v>
      </c>
      <c r="C37" s="73"/>
      <c r="D37" s="73"/>
      <c r="E37" s="73"/>
      <c r="F37" s="73"/>
      <c r="G37" s="73"/>
      <c r="H37" s="73"/>
      <c r="I37" s="73"/>
    </row>
    <row r="38" spans="2:9" ht="27.75" customHeight="1" x14ac:dyDescent="0.3">
      <c r="B38" s="11" t="s">
        <v>29</v>
      </c>
      <c r="C38" s="11" t="s">
        <v>30</v>
      </c>
      <c r="D38" s="11" t="s">
        <v>31</v>
      </c>
      <c r="E38" s="11" t="s">
        <v>32</v>
      </c>
      <c r="F38" s="11" t="s">
        <v>33</v>
      </c>
      <c r="G38" s="11" t="s">
        <v>34</v>
      </c>
      <c r="H38" s="11" t="s">
        <v>35</v>
      </c>
      <c r="I38" s="11" t="s">
        <v>36</v>
      </c>
    </row>
    <row r="39" spans="2:9" x14ac:dyDescent="0.3">
      <c r="B39" s="12" t="s">
        <v>37</v>
      </c>
      <c r="C39" s="19">
        <v>0.12139999999999999</v>
      </c>
      <c r="D39" s="19">
        <v>0.13850000000000001</v>
      </c>
      <c r="E39" s="19">
        <v>0.1462</v>
      </c>
      <c r="F39" s="19">
        <v>0.1366</v>
      </c>
      <c r="G39" s="15">
        <f t="shared" ref="G39:G44" si="12">F39-C39</f>
        <v>1.5200000000000005E-2</v>
      </c>
      <c r="H39" s="15">
        <f t="shared" ref="H39:H44" si="13">IFERROR(F39/C39-1,"n/a")</f>
        <v>0.12520593080724884</v>
      </c>
      <c r="I39" s="15">
        <f t="shared" ref="I39:I44" si="14">IFERROR(F39/E39-1,"n/a")</f>
        <v>-6.5663474692202461E-2</v>
      </c>
    </row>
    <row r="40" spans="2:9" x14ac:dyDescent="0.3">
      <c r="B40" s="12" t="s">
        <v>38</v>
      </c>
      <c r="C40" s="19">
        <v>0.104</v>
      </c>
      <c r="D40" s="19">
        <v>0.12920000000000001</v>
      </c>
      <c r="E40" s="19">
        <v>0.16339999999999999</v>
      </c>
      <c r="F40" s="19">
        <v>0.13220000000000001</v>
      </c>
      <c r="G40" s="15">
        <f t="shared" si="12"/>
        <v>2.8200000000000017E-2</v>
      </c>
      <c r="H40" s="15">
        <f t="shared" si="13"/>
        <v>0.2711538461538463</v>
      </c>
      <c r="I40" s="15">
        <f t="shared" si="14"/>
        <v>-0.19094247246022023</v>
      </c>
    </row>
    <row r="41" spans="2:9" x14ac:dyDescent="0.3">
      <c r="B41" s="12" t="s">
        <v>39</v>
      </c>
      <c r="C41" s="19">
        <v>0.1149</v>
      </c>
      <c r="D41" s="19">
        <v>0.13619999999999999</v>
      </c>
      <c r="E41" s="19">
        <v>0.15909999999999999</v>
      </c>
      <c r="F41" s="19">
        <v>0.12230000000000001</v>
      </c>
      <c r="G41" s="15">
        <f t="shared" si="12"/>
        <v>7.4000000000000038E-3</v>
      </c>
      <c r="H41" s="15">
        <f t="shared" si="13"/>
        <v>6.4403829416884273E-2</v>
      </c>
      <c r="I41" s="15">
        <f t="shared" si="14"/>
        <v>-0.2313010685103708</v>
      </c>
    </row>
    <row r="42" spans="2:9" x14ac:dyDescent="0.3">
      <c r="B42" s="12" t="s">
        <v>40</v>
      </c>
      <c r="C42" s="19">
        <v>9.3700000000000006E-2</v>
      </c>
      <c r="D42" s="19">
        <v>8.3199999999999996E-2</v>
      </c>
      <c r="E42" s="19">
        <v>0.2737</v>
      </c>
      <c r="F42" s="19">
        <v>0.27829999999999999</v>
      </c>
      <c r="G42" s="15">
        <f t="shared" si="12"/>
        <v>0.18459999999999999</v>
      </c>
      <c r="H42" s="15">
        <f t="shared" si="13"/>
        <v>1.9701173959445035</v>
      </c>
      <c r="I42" s="15">
        <f t="shared" si="14"/>
        <v>1.6806722689075571E-2</v>
      </c>
    </row>
    <row r="43" spans="2:9" x14ac:dyDescent="0.3">
      <c r="B43" s="12" t="s">
        <v>41</v>
      </c>
      <c r="C43" s="19">
        <v>0.17960000000000001</v>
      </c>
      <c r="D43" s="19">
        <v>0.21390000000000001</v>
      </c>
      <c r="E43" s="19">
        <v>0.2414</v>
      </c>
      <c r="F43" s="19">
        <v>0.27429999999999999</v>
      </c>
      <c r="G43" s="15">
        <f t="shared" si="12"/>
        <v>9.4699999999999979E-2</v>
      </c>
      <c r="H43" s="15">
        <f t="shared" si="13"/>
        <v>0.52728285077950998</v>
      </c>
      <c r="I43" s="15">
        <f t="shared" si="14"/>
        <v>0.13628831814415898</v>
      </c>
    </row>
    <row r="44" spans="2:9" x14ac:dyDescent="0.3">
      <c r="B44" s="12" t="s">
        <v>42</v>
      </c>
      <c r="C44" s="19">
        <v>0</v>
      </c>
      <c r="D44" s="19">
        <v>0</v>
      </c>
      <c r="E44" s="19">
        <v>8.9800000000000005E-2</v>
      </c>
      <c r="F44" s="19">
        <v>0.26200000000000001</v>
      </c>
      <c r="G44" s="15">
        <f t="shared" si="12"/>
        <v>0.26200000000000001</v>
      </c>
      <c r="H44" s="15" t="str">
        <f t="shared" si="13"/>
        <v>n/a</v>
      </c>
      <c r="I44" s="15">
        <f t="shared" si="14"/>
        <v>1.9175946547884188</v>
      </c>
    </row>
    <row r="45" spans="2:9" x14ac:dyDescent="0.3">
      <c r="B45" s="16" t="s">
        <v>43</v>
      </c>
      <c r="C45" s="18">
        <f t="shared" ref="C45:I45" si="15">IFERROR(AVERAGE(C39:C44),"")</f>
        <v>0.10226666666666667</v>
      </c>
      <c r="D45" s="18">
        <f t="shared" si="15"/>
        <v>0.11683333333333334</v>
      </c>
      <c r="E45" s="18">
        <f t="shared" si="15"/>
        <v>0.17893333333333336</v>
      </c>
      <c r="F45" s="18">
        <f t="shared" si="15"/>
        <v>0.20094999999999999</v>
      </c>
      <c r="G45" s="18">
        <f t="shared" si="15"/>
        <v>9.8683333333333331E-2</v>
      </c>
      <c r="H45" s="18">
        <f t="shared" si="15"/>
        <v>0.59163277062039854</v>
      </c>
      <c r="I45" s="18">
        <f t="shared" si="15"/>
        <v>0.26379711332647665</v>
      </c>
    </row>
    <row r="48" spans="2:9" ht="19.5" customHeight="1" x14ac:dyDescent="0.3">
      <c r="B48" s="73" t="s">
        <v>47</v>
      </c>
      <c r="C48" s="73"/>
      <c r="D48" s="73"/>
      <c r="E48" s="73"/>
      <c r="F48" s="73"/>
      <c r="G48" s="73"/>
      <c r="H48" s="73"/>
      <c r="I48" s="73"/>
    </row>
    <row r="49" spans="2:9" ht="27.75" customHeight="1" x14ac:dyDescent="0.3">
      <c r="B49" s="11" t="s">
        <v>29</v>
      </c>
      <c r="C49" s="11" t="s">
        <v>30</v>
      </c>
      <c r="D49" s="11" t="s">
        <v>31</v>
      </c>
      <c r="E49" s="11" t="s">
        <v>32</v>
      </c>
      <c r="F49" s="11" t="s">
        <v>33</v>
      </c>
      <c r="G49" s="11" t="s">
        <v>34</v>
      </c>
      <c r="H49" s="11" t="s">
        <v>35</v>
      </c>
      <c r="I49" s="11" t="s">
        <v>36</v>
      </c>
    </row>
    <row r="50" spans="2:9" x14ac:dyDescent="0.3">
      <c r="B50" s="12" t="s">
        <v>37</v>
      </c>
      <c r="C50" s="19">
        <v>0.46300000000000002</v>
      </c>
      <c r="D50" s="19">
        <v>0.41799999999999998</v>
      </c>
      <c r="E50" s="19">
        <v>0.45329999999999998</v>
      </c>
      <c r="F50" s="19">
        <v>0.42359999999999998</v>
      </c>
      <c r="G50" s="15">
        <f t="shared" ref="G50:G55" si="16">F50-C50</f>
        <v>-3.9400000000000046E-2</v>
      </c>
      <c r="H50" s="15">
        <f t="shared" ref="H50:H55" si="17">IFERROR(F50/C50-1,"n/a")</f>
        <v>-8.5097192224622087E-2</v>
      </c>
      <c r="I50" s="15">
        <f t="shared" ref="I50:I55" si="18">IFERROR(F50/E50-1,"n/a")</f>
        <v>-6.5519523494374621E-2</v>
      </c>
    </row>
    <row r="51" spans="2:9" x14ac:dyDescent="0.3">
      <c r="B51" s="12" t="s">
        <v>38</v>
      </c>
      <c r="C51" s="19">
        <v>0.53300000000000003</v>
      </c>
      <c r="D51" s="19">
        <v>0.4335</v>
      </c>
      <c r="E51" s="19">
        <v>0.43609999999999999</v>
      </c>
      <c r="F51" s="19">
        <v>0.4098</v>
      </c>
      <c r="G51" s="15">
        <f t="shared" si="16"/>
        <v>-0.12320000000000003</v>
      </c>
      <c r="H51" s="15">
        <f t="shared" si="17"/>
        <v>-0.23114446529080679</v>
      </c>
      <c r="I51" s="15">
        <f t="shared" si="18"/>
        <v>-6.0307268975005712E-2</v>
      </c>
    </row>
    <row r="52" spans="2:9" x14ac:dyDescent="0.3">
      <c r="B52" s="12" t="s">
        <v>39</v>
      </c>
      <c r="C52" s="19">
        <v>0.51490000000000002</v>
      </c>
      <c r="D52" s="19">
        <v>0.43090000000000001</v>
      </c>
      <c r="E52" s="19">
        <v>0.41749999999999998</v>
      </c>
      <c r="F52" s="19">
        <v>0.4713</v>
      </c>
      <c r="G52" s="15">
        <f t="shared" si="16"/>
        <v>-4.3600000000000028E-2</v>
      </c>
      <c r="H52" s="15">
        <f t="shared" si="17"/>
        <v>-8.4676636240046621E-2</v>
      </c>
      <c r="I52" s="15">
        <f t="shared" si="18"/>
        <v>0.12886227544910178</v>
      </c>
    </row>
    <row r="53" spans="2:9" x14ac:dyDescent="0.3">
      <c r="B53" s="12" t="s">
        <v>40</v>
      </c>
      <c r="C53" s="19">
        <v>0.64200000000000002</v>
      </c>
      <c r="D53" s="19">
        <v>0.60709999999999997</v>
      </c>
      <c r="E53" s="19">
        <v>0.4103</v>
      </c>
      <c r="F53" s="19">
        <v>0.41930000000000001</v>
      </c>
      <c r="G53" s="15">
        <f t="shared" si="16"/>
        <v>-0.22270000000000001</v>
      </c>
      <c r="H53" s="15">
        <f t="shared" si="17"/>
        <v>-0.34688473520249219</v>
      </c>
      <c r="I53" s="15">
        <f t="shared" si="18"/>
        <v>2.1935169388252573E-2</v>
      </c>
    </row>
    <row r="54" spans="2:9" x14ac:dyDescent="0.3">
      <c r="B54" s="12" t="s">
        <v>41</v>
      </c>
      <c r="C54" s="19">
        <v>0.46310000000000001</v>
      </c>
      <c r="D54" s="19">
        <v>0.37259999999999999</v>
      </c>
      <c r="E54" s="19">
        <v>0.44969999999999999</v>
      </c>
      <c r="F54" s="19">
        <v>0.35970000000000002</v>
      </c>
      <c r="G54" s="15">
        <f t="shared" si="16"/>
        <v>-0.10339999999999999</v>
      </c>
      <c r="H54" s="15">
        <f t="shared" si="17"/>
        <v>-0.22327790973871731</v>
      </c>
      <c r="I54" s="15">
        <f t="shared" si="18"/>
        <v>-0.20013342228152098</v>
      </c>
    </row>
    <row r="55" spans="2:9" x14ac:dyDescent="0.3">
      <c r="B55" s="12" t="s">
        <v>42</v>
      </c>
      <c r="C55" s="19">
        <v>0.83750000000000002</v>
      </c>
      <c r="D55" s="19">
        <v>0.73860000000000003</v>
      </c>
      <c r="E55" s="19">
        <v>0.72370000000000001</v>
      </c>
      <c r="F55" s="19">
        <v>0.49990000000000001</v>
      </c>
      <c r="G55" s="15">
        <f t="shared" si="16"/>
        <v>-0.33760000000000001</v>
      </c>
      <c r="H55" s="15">
        <f t="shared" si="17"/>
        <v>-0.40310447761194035</v>
      </c>
      <c r="I55" s="15">
        <f t="shared" si="18"/>
        <v>-0.30924416194555759</v>
      </c>
    </row>
    <row r="56" spans="2:9" x14ac:dyDescent="0.3">
      <c r="B56" s="16" t="s">
        <v>43</v>
      </c>
      <c r="C56" s="18">
        <f t="shared" ref="C56:I56" si="19">IFERROR(AVERAGE(C50:C55),"")</f>
        <v>0.57558333333333322</v>
      </c>
      <c r="D56" s="18">
        <f t="shared" si="19"/>
        <v>0.50011666666666665</v>
      </c>
      <c r="E56" s="18">
        <f t="shared" si="19"/>
        <v>0.48176666666666668</v>
      </c>
      <c r="F56" s="18">
        <f t="shared" si="19"/>
        <v>0.43059999999999993</v>
      </c>
      <c r="G56" s="18">
        <f t="shared" si="19"/>
        <v>-0.14498333333333335</v>
      </c>
      <c r="H56" s="18">
        <f t="shared" si="19"/>
        <v>-0.22903090271810422</v>
      </c>
      <c r="I56" s="18">
        <f t="shared" si="19"/>
        <v>-8.0734488643184096E-2</v>
      </c>
    </row>
    <row r="59" spans="2:9" ht="19.5" customHeight="1" x14ac:dyDescent="0.3">
      <c r="B59" s="71" t="s">
        <v>48</v>
      </c>
      <c r="C59" s="71"/>
      <c r="D59" s="71"/>
      <c r="E59" s="71"/>
      <c r="F59" s="71"/>
      <c r="G59" s="71"/>
      <c r="H59" s="71"/>
      <c r="I59" s="71"/>
    </row>
    <row r="60" spans="2:9" ht="27.75" customHeight="1" x14ac:dyDescent="0.3">
      <c r="B60" s="11" t="s">
        <v>29</v>
      </c>
      <c r="C60" s="11" t="s">
        <v>30</v>
      </c>
      <c r="D60" s="11" t="s">
        <v>31</v>
      </c>
      <c r="E60" s="11" t="s">
        <v>32</v>
      </c>
      <c r="F60" s="11" t="s">
        <v>33</v>
      </c>
      <c r="G60" s="11" t="s">
        <v>34</v>
      </c>
      <c r="H60" s="11" t="s">
        <v>35</v>
      </c>
      <c r="I60" s="11" t="s">
        <v>36</v>
      </c>
    </row>
    <row r="61" spans="2:9" x14ac:dyDescent="0.3">
      <c r="B61" s="12" t="s">
        <v>37</v>
      </c>
      <c r="C61" s="19">
        <v>0.1203</v>
      </c>
      <c r="D61" s="19">
        <v>0.1244</v>
      </c>
      <c r="E61" s="19">
        <v>0.12089999999999999</v>
      </c>
      <c r="F61" s="19">
        <v>0.12239999999999999</v>
      </c>
      <c r="G61" s="15">
        <f t="shared" ref="G61:G66" si="20">F61-C61</f>
        <v>2.0999999999999908E-3</v>
      </c>
      <c r="H61" s="15">
        <f t="shared" ref="H61:H66" si="21">IFERROR(F61/C61-1,"n/a")</f>
        <v>1.7456359102244301E-2</v>
      </c>
      <c r="I61" s="15">
        <f t="shared" ref="I61:I66" si="22">IFERROR(F61/E61-1,"n/a")</f>
        <v>1.2406947890818865E-2</v>
      </c>
    </row>
    <row r="62" spans="2:9" x14ac:dyDescent="0.3">
      <c r="B62" s="12" t="s">
        <v>38</v>
      </c>
      <c r="C62" s="19">
        <v>0.106</v>
      </c>
      <c r="D62" s="19">
        <v>0.1099</v>
      </c>
      <c r="E62" s="19">
        <v>0.1071</v>
      </c>
      <c r="F62" s="19">
        <v>0.1053</v>
      </c>
      <c r="G62" s="15">
        <f t="shared" si="20"/>
        <v>-6.999999999999923E-4</v>
      </c>
      <c r="H62" s="15">
        <f t="shared" si="21"/>
        <v>-6.6037735849056034E-3</v>
      </c>
      <c r="I62" s="15">
        <f t="shared" si="22"/>
        <v>-1.6806722689075571E-2</v>
      </c>
    </row>
    <row r="63" spans="2:9" x14ac:dyDescent="0.3">
      <c r="B63" s="12" t="s">
        <v>39</v>
      </c>
      <c r="C63" s="19">
        <v>0.1099</v>
      </c>
      <c r="D63" s="19">
        <v>0.11650000000000001</v>
      </c>
      <c r="E63" s="19">
        <v>0.1045</v>
      </c>
      <c r="F63" s="19">
        <v>0.10730000000000001</v>
      </c>
      <c r="G63" s="15">
        <f t="shared" si="20"/>
        <v>-2.5999999999999912E-3</v>
      </c>
      <c r="H63" s="15">
        <f t="shared" si="21"/>
        <v>-2.3657870791628621E-2</v>
      </c>
      <c r="I63" s="15">
        <f t="shared" si="22"/>
        <v>2.6794258373205926E-2</v>
      </c>
    </row>
    <row r="64" spans="2:9" x14ac:dyDescent="0.3">
      <c r="B64" s="12" t="s">
        <v>40</v>
      </c>
      <c r="C64" s="19">
        <v>9.4399999999999998E-2</v>
      </c>
      <c r="D64" s="19">
        <v>9.4600000000000004E-2</v>
      </c>
      <c r="E64" s="19">
        <v>8.9499999999999996E-2</v>
      </c>
      <c r="F64" s="19">
        <v>8.77E-2</v>
      </c>
      <c r="G64" s="15">
        <f t="shared" si="20"/>
        <v>-6.6999999999999976E-3</v>
      </c>
      <c r="H64" s="15">
        <f t="shared" si="21"/>
        <v>-7.0974576271186418E-2</v>
      </c>
      <c r="I64" s="15">
        <f t="shared" si="22"/>
        <v>-2.0111731843575398E-2</v>
      </c>
    </row>
    <row r="65" spans="2:9" x14ac:dyDescent="0.3">
      <c r="B65" s="12" t="s">
        <v>41</v>
      </c>
      <c r="C65" s="19">
        <v>8.9099999999999999E-2</v>
      </c>
      <c r="D65" s="19">
        <v>9.9599999999999994E-2</v>
      </c>
      <c r="E65" s="19">
        <v>9.1499999999999998E-2</v>
      </c>
      <c r="F65" s="19">
        <v>9.3799999999999994E-2</v>
      </c>
      <c r="G65" s="15">
        <f t="shared" si="20"/>
        <v>4.6999999999999958E-3</v>
      </c>
      <c r="H65" s="15">
        <f t="shared" si="21"/>
        <v>5.2749719416385954E-2</v>
      </c>
      <c r="I65" s="15">
        <f t="shared" si="22"/>
        <v>2.5136612021857907E-2</v>
      </c>
    </row>
    <row r="66" spans="2:9" x14ac:dyDescent="0.3">
      <c r="B66" s="12" t="s">
        <v>42</v>
      </c>
      <c r="C66" s="19">
        <v>9.5000000000000001E-2</v>
      </c>
      <c r="D66" s="19">
        <v>0.1149</v>
      </c>
      <c r="E66" s="19">
        <v>8.48E-2</v>
      </c>
      <c r="F66" s="19">
        <v>0.1045</v>
      </c>
      <c r="G66" s="15">
        <f t="shared" si="20"/>
        <v>9.4999999999999946E-3</v>
      </c>
      <c r="H66" s="15">
        <f t="shared" si="21"/>
        <v>9.9999999999999867E-2</v>
      </c>
      <c r="I66" s="15">
        <f t="shared" si="22"/>
        <v>0.23231132075471694</v>
      </c>
    </row>
    <row r="67" spans="2:9" x14ac:dyDescent="0.3">
      <c r="B67" s="16" t="s">
        <v>43</v>
      </c>
      <c r="C67" s="18">
        <f t="shared" ref="C67:I67" si="23">IFERROR(AVERAGE(C61:C66),"")</f>
        <v>0.10244999999999999</v>
      </c>
      <c r="D67" s="18">
        <f t="shared" si="23"/>
        <v>0.10998333333333334</v>
      </c>
      <c r="E67" s="18">
        <f t="shared" si="23"/>
        <v>9.9716666666666662E-2</v>
      </c>
      <c r="F67" s="18">
        <f t="shared" si="23"/>
        <v>0.10349999999999999</v>
      </c>
      <c r="G67" s="18">
        <f t="shared" si="23"/>
        <v>1.0499999999999999E-3</v>
      </c>
      <c r="H67" s="18">
        <f t="shared" si="23"/>
        <v>1.1494976311818247E-2</v>
      </c>
      <c r="I67" s="18">
        <f t="shared" si="23"/>
        <v>4.3288447417991448E-2</v>
      </c>
    </row>
    <row r="70" spans="2:9" x14ac:dyDescent="0.3">
      <c r="B70" s="20" t="s">
        <v>49</v>
      </c>
    </row>
  </sheetData>
  <mergeCells count="6">
    <mergeCell ref="B59:I59"/>
    <mergeCell ref="B4:I4"/>
    <mergeCell ref="B15:I15"/>
    <mergeCell ref="B26:I26"/>
    <mergeCell ref="B37:I37"/>
    <mergeCell ref="B48:I48"/>
  </mergeCells>
  <conditionalFormatting sqref="H6:I12">
    <cfRule type="cellIs" dxfId="15" priority="2" operator="lessThan">
      <formula>0</formula>
    </cfRule>
  </conditionalFormatting>
  <conditionalFormatting sqref="H17:I23">
    <cfRule type="cellIs" dxfId="14" priority="16" operator="lessThan">
      <formula>0</formula>
    </cfRule>
  </conditionalFormatting>
  <conditionalFormatting sqref="H28:I34">
    <cfRule type="cellIs" dxfId="13" priority="30" operator="lessThan">
      <formula>0</formula>
    </cfRule>
  </conditionalFormatting>
  <conditionalFormatting sqref="H39:I45">
    <cfRule type="cellIs" dxfId="12" priority="44" operator="lessThan">
      <formula>0</formula>
    </cfRule>
  </conditionalFormatting>
  <conditionalFormatting sqref="H50:I56">
    <cfRule type="cellIs" dxfId="11" priority="58" operator="lessThan">
      <formula>0</formula>
    </cfRule>
  </conditionalFormatting>
  <conditionalFormatting sqref="H61:I67">
    <cfRule type="cellIs" dxfId="10" priority="72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13"/>
  <sheetViews>
    <sheetView showGridLines="0" zoomScaleNormal="100" workbookViewId="0"/>
  </sheetViews>
  <sheetFormatPr defaultColWidth="8.6640625" defaultRowHeight="14.4" x14ac:dyDescent="0.3"/>
  <cols>
    <col min="2" max="2" width="4" customWidth="1"/>
    <col min="3" max="3" width="42" customWidth="1"/>
    <col min="4" max="4" width="16" customWidth="1"/>
    <col min="5" max="5" width="76" customWidth="1"/>
  </cols>
  <sheetData>
    <row r="2" spans="2:5" ht="17.399999999999999" x14ac:dyDescent="0.3">
      <c r="B2" s="1" t="s">
        <v>50</v>
      </c>
    </row>
    <row r="4" spans="2:5" x14ac:dyDescent="0.3">
      <c r="B4" s="21" t="s">
        <v>51</v>
      </c>
      <c r="C4" s="21" t="s">
        <v>52</v>
      </c>
      <c r="D4" s="21" t="s">
        <v>53</v>
      </c>
      <c r="E4" s="21" t="s">
        <v>54</v>
      </c>
    </row>
    <row r="5" spans="2:5" ht="73.5" customHeight="1" x14ac:dyDescent="0.3">
      <c r="B5" s="22" t="s">
        <v>55</v>
      </c>
      <c r="C5" s="4" t="s">
        <v>56</v>
      </c>
      <c r="D5" s="23">
        <f>'Base Mai-Ago'!F12/'Base Mai-Ago'!C12-1</f>
        <v>0.32739697659971023</v>
      </c>
      <c r="E5" s="5" t="s">
        <v>57</v>
      </c>
    </row>
    <row r="6" spans="2:5" ht="73.5" customHeight="1" x14ac:dyDescent="0.3">
      <c r="B6" s="22" t="s">
        <v>58</v>
      </c>
      <c r="C6" s="4" t="s">
        <v>59</v>
      </c>
      <c r="D6" s="23">
        <f>'Base Mai-Ago'!F23/'Base Mai-Ago'!E23-1</f>
        <v>7.2566371681415998E-2</v>
      </c>
      <c r="E6" s="5" t="s">
        <v>60</v>
      </c>
    </row>
    <row r="7" spans="2:5" ht="73.5" customHeight="1" x14ac:dyDescent="0.3">
      <c r="B7" s="22" t="s">
        <v>61</v>
      </c>
      <c r="C7" s="4" t="s">
        <v>62</v>
      </c>
      <c r="D7" s="23">
        <f>'Base Mai-Ago'!F56-'Base Mai-Ago'!C56</f>
        <v>-0.1449833333333333</v>
      </c>
      <c r="E7" s="5" t="s">
        <v>63</v>
      </c>
    </row>
    <row r="8" spans="2:5" ht="73.5" customHeight="1" x14ac:dyDescent="0.3">
      <c r="B8" s="22" t="s">
        <v>64</v>
      </c>
      <c r="C8" s="4" t="s">
        <v>65</v>
      </c>
      <c r="D8" s="23">
        <f>'Base Mai-Ago'!F45-'Base Mai-Ago'!C45</f>
        <v>9.8683333333333317E-2</v>
      </c>
      <c r="E8" s="5" t="s">
        <v>66</v>
      </c>
    </row>
    <row r="9" spans="2:5" ht="73.5" customHeight="1" x14ac:dyDescent="0.3">
      <c r="B9" s="22" t="s">
        <v>67</v>
      </c>
      <c r="C9" s="4" t="s">
        <v>68</v>
      </c>
      <c r="D9" s="23">
        <f>'Base Mai-Ago'!F67-'Base Mai-Ago'!C67</f>
        <v>1.0500000000000093E-3</v>
      </c>
      <c r="E9" s="5" t="s">
        <v>69</v>
      </c>
    </row>
    <row r="10" spans="2:5" ht="73.5" customHeight="1" x14ac:dyDescent="0.3">
      <c r="B10" s="22" t="s">
        <v>70</v>
      </c>
      <c r="C10" s="4" t="s">
        <v>71</v>
      </c>
      <c r="D10" s="24">
        <f>5.77-4.3</f>
        <v>1.4699999999999998</v>
      </c>
      <c r="E10" s="5" t="s">
        <v>72</v>
      </c>
    </row>
    <row r="11" spans="2:5" ht="73.5" customHeight="1" x14ac:dyDescent="0.3">
      <c r="B11" s="22" t="s">
        <v>73</v>
      </c>
      <c r="C11" s="4" t="s">
        <v>74</v>
      </c>
      <c r="D11" s="22" t="s">
        <v>75</v>
      </c>
      <c r="E11" s="5" t="s">
        <v>76</v>
      </c>
    </row>
    <row r="13" spans="2:5" ht="73.5" customHeight="1" x14ac:dyDescent="0.3">
      <c r="C13" s="25" t="s">
        <v>77</v>
      </c>
      <c r="E13" s="10" t="s">
        <v>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U30"/>
  <sheetViews>
    <sheetView showGridLines="0" zoomScaleNormal="100" workbookViewId="0">
      <selection activeCell="H19" sqref="H19"/>
    </sheetView>
  </sheetViews>
  <sheetFormatPr defaultColWidth="8.6640625" defaultRowHeight="14.4" x14ac:dyDescent="0.3"/>
  <cols>
    <col min="2" max="2" width="31.6640625" customWidth="1"/>
    <col min="3" max="9" width="15" customWidth="1"/>
    <col min="11" max="11" width="40" customWidth="1"/>
    <col min="12" max="12" width="15" customWidth="1"/>
    <col min="13" max="13" width="46" customWidth="1"/>
    <col min="20" max="21" width="13" hidden="1" customWidth="1"/>
  </cols>
  <sheetData>
    <row r="2" spans="2:13" ht="17.399999999999999" x14ac:dyDescent="0.3">
      <c r="B2" s="1" t="s">
        <v>79</v>
      </c>
    </row>
    <row r="4" spans="2:13" ht="42" customHeight="1" x14ac:dyDescent="0.3">
      <c r="B4" s="21" t="s">
        <v>29</v>
      </c>
      <c r="C4" s="21" t="s">
        <v>80</v>
      </c>
      <c r="D4" s="21" t="s">
        <v>81</v>
      </c>
      <c r="E4" s="21" t="s">
        <v>82</v>
      </c>
      <c r="F4" s="21" t="s">
        <v>83</v>
      </c>
      <c r="G4" s="21" t="s">
        <v>84</v>
      </c>
      <c r="H4" s="21" t="s">
        <v>85</v>
      </c>
      <c r="I4" s="21" t="s">
        <v>86</v>
      </c>
      <c r="K4" s="26" t="s">
        <v>87</v>
      </c>
      <c r="L4" s="26" t="s">
        <v>88</v>
      </c>
      <c r="M4" s="26" t="s">
        <v>89</v>
      </c>
    </row>
    <row r="5" spans="2:13" ht="26.4" x14ac:dyDescent="0.3">
      <c r="B5" s="22" t="s">
        <v>37</v>
      </c>
      <c r="C5" s="27">
        <v>11</v>
      </c>
      <c r="D5" s="27">
        <v>4.66</v>
      </c>
      <c r="E5" s="28">
        <v>0.48</v>
      </c>
      <c r="F5" s="28">
        <v>0.14000000000000001</v>
      </c>
      <c r="G5" s="28">
        <v>0.38</v>
      </c>
      <c r="H5" s="28">
        <v>0.1203</v>
      </c>
      <c r="I5" s="28">
        <v>0.9</v>
      </c>
      <c r="K5" s="5" t="s">
        <v>90</v>
      </c>
      <c r="L5" s="29" t="s">
        <v>91</v>
      </c>
      <c r="M5" s="5" t="s">
        <v>92</v>
      </c>
    </row>
    <row r="6" spans="2:13" ht="26.4" x14ac:dyDescent="0.3">
      <c r="B6" s="22" t="s">
        <v>38</v>
      </c>
      <c r="C6" s="27">
        <v>11.5</v>
      </c>
      <c r="D6" s="27">
        <v>5.34</v>
      </c>
      <c r="E6" s="28">
        <v>0.5</v>
      </c>
      <c r="F6" s="28">
        <v>0.14000000000000001</v>
      </c>
      <c r="G6" s="28">
        <v>0.37</v>
      </c>
      <c r="H6" s="28">
        <v>0.1053</v>
      </c>
      <c r="I6" s="28">
        <v>0.9</v>
      </c>
      <c r="K6" s="5" t="s">
        <v>93</v>
      </c>
      <c r="L6" s="29" t="s">
        <v>91</v>
      </c>
      <c r="M6" s="5" t="s">
        <v>94</v>
      </c>
    </row>
    <row r="7" spans="2:13" ht="26.4" x14ac:dyDescent="0.3">
      <c r="B7" s="22" t="s">
        <v>39</v>
      </c>
      <c r="C7" s="27">
        <v>11.5</v>
      </c>
      <c r="D7" s="27">
        <v>4.2</v>
      </c>
      <c r="E7" s="28">
        <v>0.45</v>
      </c>
      <c r="F7" s="28">
        <v>0.13</v>
      </c>
      <c r="G7" s="28">
        <v>0.43</v>
      </c>
      <c r="H7" s="28">
        <v>0.1045</v>
      </c>
      <c r="I7" s="28">
        <v>0.9</v>
      </c>
      <c r="K7" s="5" t="s">
        <v>95</v>
      </c>
      <c r="L7" s="29" t="s">
        <v>91</v>
      </c>
      <c r="M7" s="5" t="s">
        <v>96</v>
      </c>
    </row>
    <row r="8" spans="2:13" ht="26.4" x14ac:dyDescent="0.3">
      <c r="B8" s="22" t="s">
        <v>40</v>
      </c>
      <c r="C8" s="27">
        <v>11</v>
      </c>
      <c r="D8" s="27">
        <v>4.3</v>
      </c>
      <c r="E8" s="28">
        <v>0.35</v>
      </c>
      <c r="F8" s="28">
        <v>0.24</v>
      </c>
      <c r="G8" s="28">
        <v>0.38</v>
      </c>
      <c r="H8" s="28">
        <v>8.77E-2</v>
      </c>
      <c r="I8" s="28">
        <v>0.9</v>
      </c>
      <c r="K8" s="5" t="s">
        <v>97</v>
      </c>
      <c r="L8" s="29" t="s">
        <v>91</v>
      </c>
      <c r="M8" s="5" t="s">
        <v>98</v>
      </c>
    </row>
    <row r="9" spans="2:13" ht="26.4" x14ac:dyDescent="0.3">
      <c r="B9" s="22" t="s">
        <v>41</v>
      </c>
      <c r="C9" s="27">
        <v>11</v>
      </c>
      <c r="D9" s="27">
        <v>5.32</v>
      </c>
      <c r="E9" s="28">
        <v>0.41</v>
      </c>
      <c r="F9" s="28">
        <v>0.24</v>
      </c>
      <c r="G9" s="28">
        <v>0.32</v>
      </c>
      <c r="H9" s="28">
        <v>8.9099999999999999E-2</v>
      </c>
      <c r="I9" s="28">
        <v>0.9</v>
      </c>
      <c r="K9" s="5" t="s">
        <v>99</v>
      </c>
      <c r="L9" s="30" t="s">
        <v>100</v>
      </c>
      <c r="M9" s="5" t="s">
        <v>101</v>
      </c>
    </row>
    <row r="10" spans="2:13" ht="26.4" x14ac:dyDescent="0.3">
      <c r="B10" s="22" t="s">
        <v>42</v>
      </c>
      <c r="C10" s="27">
        <v>13.5</v>
      </c>
      <c r="D10" s="27">
        <v>4.12</v>
      </c>
      <c r="E10" s="28">
        <v>0.28000000000000003</v>
      </c>
      <c r="F10" s="28">
        <v>0.22</v>
      </c>
      <c r="G10" s="28">
        <v>0.45</v>
      </c>
      <c r="H10" s="28">
        <v>8.48E-2</v>
      </c>
      <c r="I10" s="28">
        <v>0.9</v>
      </c>
      <c r="K10" s="5" t="s">
        <v>102</v>
      </c>
      <c r="L10" s="30" t="s">
        <v>100</v>
      </c>
      <c r="M10" s="5" t="s">
        <v>103</v>
      </c>
    </row>
    <row r="11" spans="2:13" ht="27.75" customHeight="1" x14ac:dyDescent="0.3">
      <c r="B11" s="74" t="s">
        <v>104</v>
      </c>
      <c r="C11" s="74"/>
      <c r="D11" s="74"/>
      <c r="E11" s="74"/>
      <c r="F11" s="74"/>
      <c r="G11" s="74"/>
      <c r="H11" s="74"/>
      <c r="I11" s="74"/>
      <c r="K11" s="5" t="s">
        <v>105</v>
      </c>
      <c r="L11" s="30" t="s">
        <v>100</v>
      </c>
      <c r="M11" s="5" t="s">
        <v>106</v>
      </c>
    </row>
    <row r="12" spans="2:13" x14ac:dyDescent="0.3">
      <c r="K12" s="5" t="s">
        <v>107</v>
      </c>
      <c r="L12" s="31" t="s">
        <v>108</v>
      </c>
      <c r="M12" s="5" t="s">
        <v>109</v>
      </c>
    </row>
    <row r="13" spans="2:13" ht="26.4" x14ac:dyDescent="0.3">
      <c r="B13" s="6" t="s">
        <v>110</v>
      </c>
      <c r="C13" s="32">
        <v>26</v>
      </c>
      <c r="D13" s="20" t="s">
        <v>111</v>
      </c>
      <c r="K13" s="5" t="s">
        <v>112</v>
      </c>
      <c r="L13" s="31" t="s">
        <v>108</v>
      </c>
      <c r="M13" s="5" t="s">
        <v>113</v>
      </c>
    </row>
    <row r="14" spans="2:13" x14ac:dyDescent="0.3">
      <c r="K14" s="5" t="s">
        <v>114</v>
      </c>
      <c r="L14" s="31" t="s">
        <v>108</v>
      </c>
      <c r="M14" s="5" t="s">
        <v>115</v>
      </c>
    </row>
    <row r="15" spans="2:13" x14ac:dyDescent="0.3">
      <c r="B15" s="6" t="s">
        <v>116</v>
      </c>
      <c r="C15" s="32">
        <v>2</v>
      </c>
      <c r="D15" s="20" t="s">
        <v>117</v>
      </c>
    </row>
    <row r="16" spans="2:13" x14ac:dyDescent="0.3">
      <c r="K16" s="20" t="s">
        <v>118</v>
      </c>
    </row>
    <row r="20" spans="20:21" x14ac:dyDescent="0.3">
      <c r="T20" s="6" t="s">
        <v>119</v>
      </c>
      <c r="U20" s="6" t="s">
        <v>120</v>
      </c>
    </row>
    <row r="21" spans="20:21" x14ac:dyDescent="0.3">
      <c r="T21" t="s">
        <v>37</v>
      </c>
      <c r="U21" t="s">
        <v>90</v>
      </c>
    </row>
    <row r="22" spans="20:21" x14ac:dyDescent="0.3">
      <c r="T22" t="s">
        <v>38</v>
      </c>
      <c r="U22" t="s">
        <v>93</v>
      </c>
    </row>
    <row r="23" spans="20:21" x14ac:dyDescent="0.3">
      <c r="T23" t="s">
        <v>39</v>
      </c>
      <c r="U23" t="s">
        <v>95</v>
      </c>
    </row>
    <row r="24" spans="20:21" x14ac:dyDescent="0.3">
      <c r="T24" t="s">
        <v>40</v>
      </c>
      <c r="U24" t="s">
        <v>97</v>
      </c>
    </row>
    <row r="25" spans="20:21" x14ac:dyDescent="0.3">
      <c r="T25" t="s">
        <v>41</v>
      </c>
      <c r="U25" t="s">
        <v>99</v>
      </c>
    </row>
    <row r="26" spans="20:21" x14ac:dyDescent="0.3">
      <c r="T26" t="s">
        <v>42</v>
      </c>
      <c r="U26" t="s">
        <v>102</v>
      </c>
    </row>
    <row r="27" spans="20:21" x14ac:dyDescent="0.3">
      <c r="U27" t="s">
        <v>105</v>
      </c>
    </row>
    <row r="28" spans="20:21" x14ac:dyDescent="0.3">
      <c r="U28" t="s">
        <v>107</v>
      </c>
    </row>
    <row r="29" spans="20:21" x14ac:dyDescent="0.3">
      <c r="U29" t="s">
        <v>112</v>
      </c>
    </row>
    <row r="30" spans="20:21" x14ac:dyDescent="0.3">
      <c r="U30" t="s">
        <v>114</v>
      </c>
    </row>
  </sheetData>
  <mergeCells count="1">
    <mergeCell ref="B11:I1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AE255"/>
  <sheetViews>
    <sheetView showGridLines="0" zoomScaleNormal="100" workbookViewId="0">
      <pane xSplit="3" ySplit="5" topLeftCell="O6" activePane="bottomRight" state="frozen"/>
      <selection pane="topRight" activeCell="D1" sqref="D1"/>
      <selection pane="bottomLeft" activeCell="A6" sqref="A6"/>
      <selection pane="bottomRight" activeCell="D12" sqref="D12"/>
    </sheetView>
  </sheetViews>
  <sheetFormatPr defaultColWidth="8.6640625" defaultRowHeight="14.4" x14ac:dyDescent="0.3"/>
  <cols>
    <col min="2" max="2" width="11" customWidth="1"/>
    <col min="3" max="3" width="15" customWidth="1"/>
    <col min="4" max="4" width="14" customWidth="1"/>
    <col min="5" max="5" width="11" customWidth="1"/>
    <col min="6" max="6" width="10" customWidth="1"/>
    <col min="7" max="10" width="11" customWidth="1"/>
    <col min="11" max="11" width="22.21875" customWidth="1"/>
    <col min="12" max="12" width="10" customWidth="1"/>
    <col min="13" max="13" width="13.44140625" customWidth="1"/>
    <col min="14" max="14" width="10" customWidth="1"/>
    <col min="15" max="15" width="26" customWidth="1"/>
    <col min="16" max="16" width="12" customWidth="1"/>
    <col min="17" max="17" width="10" customWidth="1"/>
    <col min="18" max="18" width="11" customWidth="1"/>
    <col min="19" max="20" width="13" customWidth="1"/>
    <col min="21" max="21" width="14" customWidth="1"/>
    <col min="22" max="26" width="10" customWidth="1"/>
    <col min="27" max="27" width="11" customWidth="1"/>
    <col min="28" max="29" width="10" customWidth="1"/>
    <col min="30" max="30" width="14" customWidth="1"/>
    <col min="31" max="31" width="30" customWidth="1"/>
  </cols>
  <sheetData>
    <row r="2" spans="2:31" ht="17.399999999999999" x14ac:dyDescent="0.3">
      <c r="B2" s="1" t="s">
        <v>121</v>
      </c>
    </row>
    <row r="3" spans="2:31" x14ac:dyDescent="0.3">
      <c r="B3" s="2" t="s">
        <v>122</v>
      </c>
    </row>
    <row r="4" spans="2:31" ht="19.5" customHeight="1" x14ac:dyDescent="0.3">
      <c r="B4" s="75" t="s">
        <v>123</v>
      </c>
      <c r="C4" s="75"/>
      <c r="D4" s="75"/>
      <c r="E4" s="75"/>
      <c r="F4" s="75"/>
      <c r="G4" s="75"/>
      <c r="H4" s="75"/>
      <c r="I4" s="75"/>
      <c r="J4" s="75"/>
      <c r="K4" s="75"/>
      <c r="L4" s="76" t="s">
        <v>124</v>
      </c>
      <c r="M4" s="76"/>
      <c r="N4" s="76"/>
      <c r="O4" s="76"/>
      <c r="P4" s="76"/>
      <c r="Q4" s="77" t="s">
        <v>125</v>
      </c>
      <c r="R4" s="77"/>
      <c r="S4" s="77"/>
      <c r="T4" s="77"/>
      <c r="U4" s="77"/>
      <c r="V4" s="77"/>
      <c r="W4" s="77"/>
      <c r="X4" s="78" t="s">
        <v>126</v>
      </c>
      <c r="Y4" s="78"/>
      <c r="Z4" s="78"/>
      <c r="AA4" s="78"/>
      <c r="AB4" s="78"/>
      <c r="AC4" s="78"/>
      <c r="AD4" s="78"/>
      <c r="AE4" s="78"/>
    </row>
    <row r="5" spans="2:31" ht="51.75" customHeight="1" x14ac:dyDescent="0.3">
      <c r="B5" s="33" t="s">
        <v>127</v>
      </c>
      <c r="C5" s="33" t="s">
        <v>29</v>
      </c>
      <c r="D5" s="33" t="s">
        <v>128</v>
      </c>
      <c r="E5" s="33" t="s">
        <v>129</v>
      </c>
      <c r="F5" s="33" t="s">
        <v>130</v>
      </c>
      <c r="G5" s="33" t="s">
        <v>131</v>
      </c>
      <c r="H5" s="33" t="s">
        <v>132</v>
      </c>
      <c r="I5" s="34" t="s">
        <v>133</v>
      </c>
      <c r="J5" s="34" t="s">
        <v>134</v>
      </c>
      <c r="K5" s="34" t="s">
        <v>135</v>
      </c>
      <c r="L5" s="33" t="s">
        <v>136</v>
      </c>
      <c r="M5" s="33" t="s">
        <v>137</v>
      </c>
      <c r="N5" s="33" t="s">
        <v>138</v>
      </c>
      <c r="O5" s="33" t="s">
        <v>139</v>
      </c>
      <c r="P5" s="33" t="s">
        <v>140</v>
      </c>
      <c r="Q5" s="33" t="s">
        <v>141</v>
      </c>
      <c r="R5" s="33" t="s">
        <v>142</v>
      </c>
      <c r="S5" s="33" t="s">
        <v>143</v>
      </c>
      <c r="T5" s="33" t="s">
        <v>144</v>
      </c>
      <c r="U5" s="33" t="s">
        <v>145</v>
      </c>
      <c r="V5" s="33" t="s">
        <v>146</v>
      </c>
      <c r="W5" s="33" t="s">
        <v>147</v>
      </c>
      <c r="X5" s="34" t="s">
        <v>148</v>
      </c>
      <c r="Y5" s="34" t="s">
        <v>149</v>
      </c>
      <c r="Z5" s="34" t="s">
        <v>150</v>
      </c>
      <c r="AA5" s="34" t="s">
        <v>151</v>
      </c>
      <c r="AB5" s="34" t="s">
        <v>152</v>
      </c>
      <c r="AC5" s="34" t="s">
        <v>153</v>
      </c>
      <c r="AD5" s="34" t="s">
        <v>154</v>
      </c>
      <c r="AE5" s="34" t="s">
        <v>155</v>
      </c>
    </row>
    <row r="6" spans="2:31" ht="49.8" customHeight="1" x14ac:dyDescent="0.3">
      <c r="B6" s="35">
        <f>DATE(2026,9,1)</f>
        <v>46266</v>
      </c>
      <c r="C6" s="36" t="str">
        <f>Parâmetros!B5</f>
        <v>Predilecta</v>
      </c>
      <c r="D6" s="37" t="s">
        <v>156</v>
      </c>
      <c r="E6" s="38">
        <v>42</v>
      </c>
      <c r="F6" s="39">
        <v>780</v>
      </c>
      <c r="G6" s="38">
        <v>40</v>
      </c>
      <c r="H6" s="38">
        <v>3</v>
      </c>
      <c r="I6" s="40">
        <f>IF($B6="","",IFERROR($G6*IFERROR(INDEX(Parâmetros!$C$5:$C$10,MATCH($C6,Parâmetros!$B$5:$B$10,0)),"")/Parâmetros!$C$13,""))</f>
        <v>16.923076923076923</v>
      </c>
      <c r="J6" s="40">
        <f>IF($B6="","",IFERROR($E6*IFERROR(INDEX(Parâmetros!$E$5:$E$10,MATCH($C6,Parâmetros!$B$5:$B$10,0)),"")-$I6,""))</f>
        <v>3.2369230769230768</v>
      </c>
      <c r="K6" s="41" t="str">
        <f>IF($B6="","",IF(NOT(ISNUMBER($J6)),"",IF($J6&lt;=0,"OK - frota cobre a meta do dia",IF($J6&lt;=Parâmetros!$C$15,"ATENCAO - faltam "&amp;TEXT($J6,"0")&amp;" viagem(ns) de frota","CRITICO - faltam "&amp;TEXT($J6,"0")&amp;" viagens: acionar plano"))))</f>
        <v>CRITICO - faltam 3 viagens: acionar plano</v>
      </c>
      <c r="L6" s="38">
        <v>18</v>
      </c>
      <c r="M6" s="38">
        <v>6</v>
      </c>
      <c r="N6" s="38">
        <v>18</v>
      </c>
      <c r="O6" s="37" t="str">
        <f>Parâmetros!K5</f>
        <v>1. Pico de demanda não previsto</v>
      </c>
      <c r="P6" s="38">
        <v>3</v>
      </c>
      <c r="Q6" s="38">
        <v>18</v>
      </c>
      <c r="R6" s="42">
        <v>4140</v>
      </c>
      <c r="S6" s="43">
        <v>20700</v>
      </c>
      <c r="T6" s="43">
        <v>39600</v>
      </c>
      <c r="U6" s="43">
        <v>348000</v>
      </c>
      <c r="V6" s="44">
        <v>0.88</v>
      </c>
      <c r="W6" s="38">
        <v>2</v>
      </c>
      <c r="X6" s="45">
        <f t="shared" ref="X6:X69" si="0">IF($B6="","",IFERROR($L6/($L6+$M6+$N6),""))</f>
        <v>0.42857142857142855</v>
      </c>
      <c r="Y6" s="45">
        <f t="shared" ref="Y6:Y69" si="1">IF($B6="","",IFERROR($M6/($L6+$M6+$N6),""))</f>
        <v>0.14285714285714285</v>
      </c>
      <c r="Z6" s="45">
        <f t="shared" ref="Z6:Z69" si="2">IF($B6="","",IFERROR($N6/($L6+$M6+$N6),""))</f>
        <v>0.42857142857142855</v>
      </c>
      <c r="AA6" s="46">
        <f t="shared" ref="AA6:AA69" si="3">IF($B6="","",IFERROR($S6/$R6,""))</f>
        <v>5</v>
      </c>
      <c r="AB6" s="46">
        <f t="shared" ref="AB6:AB69" si="4">IF($B6="","",IFERROR($Q6/$G6,""))</f>
        <v>0.45</v>
      </c>
      <c r="AC6" s="45">
        <f t="shared" ref="AC6:AC69" si="5">IF($B6="","",IFERROR($T6/$U6,""))</f>
        <v>0.11379310344827587</v>
      </c>
      <c r="AD6" s="47">
        <f t="shared" ref="AD6:AD69" si="6">IF($B6="","",IFERROR(IF(AND($N6&gt;0,$L6&gt;0),$P6*(($T6/$N6)-($S6/$L6)),0),0))</f>
        <v>3150</v>
      </c>
      <c r="AE6" s="41" t="str">
        <f>IF($B6="","",IF(NOT(ISNUMBER($AA6)),"Aguardando fechamento",IF($P6&gt;0,"ACAO: "&amp;TEXT($P6,"0")&amp;" carga(s) terceirizada(s) de forma evitavel",IF(IF(ISNUMBER($Z6),$Z6,0)&gt;IFERROR(INDEX(Parâmetros!$G$5:$G$10,MATCH($C6,Parâmetros!$B$5:$B$10,0)),""),"ALERTA: terceiros acima da meta",IF($AA6&gt;IFERROR(INDEX(Parâmetros!$D$5:$D$10,MATCH($C6,Parâmetros!$B$5:$B$10,0)),""),"ALERTA: custo/km acima da meta","OK - dentro das metas")))))</f>
        <v>ACAO: 3 carga(s) terceirizada(s) de forma evitavel</v>
      </c>
    </row>
    <row r="7" spans="2:31" ht="15" customHeight="1" x14ac:dyDescent="0.3">
      <c r="B7" s="48"/>
      <c r="C7" s="49"/>
      <c r="D7" s="50"/>
      <c r="E7" s="51"/>
      <c r="F7" s="52"/>
      <c r="G7" s="51"/>
      <c r="H7" s="51"/>
      <c r="I7" s="53" t="str">
        <f>IF($B7="","",IFERROR($G7*IFERROR(INDEX(Parâmetros!$C$5:$C$10,MATCH($C7,Parâmetros!$B$5:$B$10,0)),"")/Parâmetros!$C$13,""))</f>
        <v/>
      </c>
      <c r="J7" s="53" t="str">
        <f>IF($B7="","",IFERROR($E7*IFERROR(INDEX(Parâmetros!$E$5:$E$10,MATCH($C7,Parâmetros!$B$5:$B$10,0)),"")-$I7,""))</f>
        <v/>
      </c>
      <c r="K7" s="54" t="str">
        <f>IF($B7="","",IF(NOT(ISNUMBER($J7)),"",IF($J7&lt;=0,"OK - frota cobre a meta do dia",IF($J7&lt;=Parâmetros!$C$15,"ATENCAO - faltam "&amp;TEXT($J7,"0")&amp;" viagem(ns) de frota","CRITICO - faltam "&amp;TEXT($J7,"0")&amp;" viagens: acionar plano"))))</f>
        <v/>
      </c>
      <c r="L7" s="51"/>
      <c r="M7" s="51"/>
      <c r="N7" s="51"/>
      <c r="O7" s="50"/>
      <c r="P7" s="51"/>
      <c r="Q7" s="51"/>
      <c r="R7" s="55"/>
      <c r="S7" s="56"/>
      <c r="T7" s="56"/>
      <c r="U7" s="56"/>
      <c r="V7" s="19"/>
      <c r="W7" s="51"/>
      <c r="X7" s="57" t="str">
        <f t="shared" si="0"/>
        <v/>
      </c>
      <c r="Y7" s="57" t="str">
        <f t="shared" si="1"/>
        <v/>
      </c>
      <c r="Z7" s="57" t="str">
        <f t="shared" si="2"/>
        <v/>
      </c>
      <c r="AA7" s="58" t="str">
        <f t="shared" si="3"/>
        <v/>
      </c>
      <c r="AB7" s="58" t="str">
        <f t="shared" si="4"/>
        <v/>
      </c>
      <c r="AC7" s="57" t="str">
        <f t="shared" si="5"/>
        <v/>
      </c>
      <c r="AD7" s="59" t="str">
        <f t="shared" si="6"/>
        <v/>
      </c>
      <c r="AE7" s="54" t="str">
        <f>IF($B7="","",IF(NOT(ISNUMBER($AA7)),"Aguardando fechamento",IF($P7&gt;0,"ACAO: "&amp;TEXT($P7,"0")&amp;" carga(s) terceirizada(s) de forma evitavel",IF(IF(ISNUMBER($Z7),$Z7,0)&gt;IFERROR(INDEX(Parâmetros!$G$5:$G$10,MATCH($C7,Parâmetros!$B$5:$B$10,0)),""),"ALERTA: terceiros acima da meta",IF($AA7&gt;IFERROR(INDEX(Parâmetros!$D$5:$D$10,MATCH($C7,Parâmetros!$B$5:$B$10,0)),""),"ALERTA: custo/km acima da meta","OK - dentro das metas")))))</f>
        <v/>
      </c>
    </row>
    <row r="8" spans="2:31" ht="15" customHeight="1" x14ac:dyDescent="0.3">
      <c r="B8" s="48"/>
      <c r="C8" s="49"/>
      <c r="D8" s="50"/>
      <c r="E8" s="51"/>
      <c r="F8" s="52"/>
      <c r="G8" s="51"/>
      <c r="H8" s="51"/>
      <c r="I8" s="53" t="str">
        <f>IF($B8="","",IFERROR($G8*IFERROR(INDEX(Parâmetros!$C$5:$C$10,MATCH($C8,Parâmetros!$B$5:$B$10,0)),"")/Parâmetros!$C$13,""))</f>
        <v/>
      </c>
      <c r="J8" s="53" t="str">
        <f>IF($B8="","",IFERROR($E8*IFERROR(INDEX(Parâmetros!$E$5:$E$10,MATCH($C8,Parâmetros!$B$5:$B$10,0)),"")-$I8,""))</f>
        <v/>
      </c>
      <c r="K8" s="54" t="str">
        <f>IF($B8="","",IF(NOT(ISNUMBER($J8)),"",IF($J8&lt;=0,"OK - frota cobre a meta do dia",IF($J8&lt;=Parâmetros!$C$15,"ATENCAO - faltam "&amp;TEXT($J8,"0")&amp;" viagem(ns) de frota","CRITICO - faltam "&amp;TEXT($J8,"0")&amp;" viagens: acionar plano"))))</f>
        <v/>
      </c>
      <c r="L8" s="51"/>
      <c r="M8" s="51"/>
      <c r="N8" s="51"/>
      <c r="O8" s="50"/>
      <c r="P8" s="51"/>
      <c r="Q8" s="51"/>
      <c r="R8" s="55"/>
      <c r="S8" s="56"/>
      <c r="T8" s="56"/>
      <c r="U8" s="56"/>
      <c r="V8" s="19"/>
      <c r="W8" s="51"/>
      <c r="X8" s="57" t="str">
        <f t="shared" si="0"/>
        <v/>
      </c>
      <c r="Y8" s="57" t="str">
        <f t="shared" si="1"/>
        <v/>
      </c>
      <c r="Z8" s="57" t="str">
        <f t="shared" si="2"/>
        <v/>
      </c>
      <c r="AA8" s="58" t="str">
        <f t="shared" si="3"/>
        <v/>
      </c>
      <c r="AB8" s="58" t="str">
        <f t="shared" si="4"/>
        <v/>
      </c>
      <c r="AC8" s="57" t="str">
        <f t="shared" si="5"/>
        <v/>
      </c>
      <c r="AD8" s="59" t="str">
        <f t="shared" si="6"/>
        <v/>
      </c>
      <c r="AE8" s="54" t="str">
        <f>IF($B8="","",IF(NOT(ISNUMBER($AA8)),"Aguardando fechamento",IF($P8&gt;0,"ACAO: "&amp;TEXT($P8,"0")&amp;" carga(s) terceirizada(s) de forma evitavel",IF(IF(ISNUMBER($Z8),$Z8,0)&gt;IFERROR(INDEX(Parâmetros!$G$5:$G$10,MATCH($C8,Parâmetros!$B$5:$B$10,0)),""),"ALERTA: terceiros acima da meta",IF($AA8&gt;IFERROR(INDEX(Parâmetros!$D$5:$D$10,MATCH($C8,Parâmetros!$B$5:$B$10,0)),""),"ALERTA: custo/km acima da meta","OK - dentro das metas")))))</f>
        <v/>
      </c>
    </row>
    <row r="9" spans="2:31" ht="15" customHeight="1" x14ac:dyDescent="0.3">
      <c r="B9" s="48"/>
      <c r="C9" s="49"/>
      <c r="D9" s="50"/>
      <c r="E9" s="51"/>
      <c r="F9" s="52"/>
      <c r="G9" s="51"/>
      <c r="H9" s="51"/>
      <c r="I9" s="53" t="str">
        <f>IF($B9="","",IFERROR($G9*IFERROR(INDEX(Parâmetros!$C$5:$C$10,MATCH($C9,Parâmetros!$B$5:$B$10,0)),"")/Parâmetros!$C$13,""))</f>
        <v/>
      </c>
      <c r="J9" s="53" t="str">
        <f>IF($B9="","",IFERROR($E9*IFERROR(INDEX(Parâmetros!$E$5:$E$10,MATCH($C9,Parâmetros!$B$5:$B$10,0)),"")-$I9,""))</f>
        <v/>
      </c>
      <c r="K9" s="54" t="str">
        <f>IF($B9="","",IF(NOT(ISNUMBER($J9)),"",IF($J9&lt;=0,"OK - frota cobre a meta do dia",IF($J9&lt;=Parâmetros!$C$15,"ATENCAO - faltam "&amp;TEXT($J9,"0")&amp;" viagem(ns) de frota","CRITICO - faltam "&amp;TEXT($J9,"0")&amp;" viagens: acionar plano"))))</f>
        <v/>
      </c>
      <c r="L9" s="51"/>
      <c r="M9" s="51"/>
      <c r="N9" s="51"/>
      <c r="O9" s="50"/>
      <c r="P9" s="51"/>
      <c r="Q9" s="51"/>
      <c r="R9" s="55"/>
      <c r="S9" s="56"/>
      <c r="T9" s="56"/>
      <c r="U9" s="56"/>
      <c r="V9" s="19"/>
      <c r="W9" s="51"/>
      <c r="X9" s="57" t="str">
        <f t="shared" si="0"/>
        <v/>
      </c>
      <c r="Y9" s="57" t="str">
        <f t="shared" si="1"/>
        <v/>
      </c>
      <c r="Z9" s="57" t="str">
        <f t="shared" si="2"/>
        <v/>
      </c>
      <c r="AA9" s="58" t="str">
        <f t="shared" si="3"/>
        <v/>
      </c>
      <c r="AB9" s="58" t="str">
        <f t="shared" si="4"/>
        <v/>
      </c>
      <c r="AC9" s="57" t="str">
        <f t="shared" si="5"/>
        <v/>
      </c>
      <c r="AD9" s="59" t="str">
        <f t="shared" si="6"/>
        <v/>
      </c>
      <c r="AE9" s="54" t="str">
        <f>IF($B9="","",IF(NOT(ISNUMBER($AA9)),"Aguardando fechamento",IF($P9&gt;0,"ACAO: "&amp;TEXT($P9,"0")&amp;" carga(s) terceirizada(s) de forma evitavel",IF(IF(ISNUMBER($Z9),$Z9,0)&gt;IFERROR(INDEX(Parâmetros!$G$5:$G$10,MATCH($C9,Parâmetros!$B$5:$B$10,0)),""),"ALERTA: terceiros acima da meta",IF($AA9&gt;IFERROR(INDEX(Parâmetros!$D$5:$D$10,MATCH($C9,Parâmetros!$B$5:$B$10,0)),""),"ALERTA: custo/km acima da meta","OK - dentro das metas")))))</f>
        <v/>
      </c>
    </row>
    <row r="10" spans="2:31" ht="15" customHeight="1" x14ac:dyDescent="0.3">
      <c r="B10" s="48"/>
      <c r="C10" s="49"/>
      <c r="D10" s="50"/>
      <c r="E10" s="51"/>
      <c r="F10" s="52"/>
      <c r="G10" s="51"/>
      <c r="H10" s="51"/>
      <c r="I10" s="53" t="str">
        <f>IF($B10="","",IFERROR($G10*IFERROR(INDEX(Parâmetros!$C$5:$C$10,MATCH($C10,Parâmetros!$B$5:$B$10,0)),"")/Parâmetros!$C$13,""))</f>
        <v/>
      </c>
      <c r="J10" s="53" t="str">
        <f>IF($B10="","",IFERROR($E10*IFERROR(INDEX(Parâmetros!$E$5:$E$10,MATCH($C10,Parâmetros!$B$5:$B$10,0)),"")-$I10,""))</f>
        <v/>
      </c>
      <c r="K10" s="54" t="str">
        <f>IF($B10="","",IF(NOT(ISNUMBER($J10)),"",IF($J10&lt;=0,"OK - frota cobre a meta do dia",IF($J10&lt;=Parâmetros!$C$15,"ATENCAO - faltam "&amp;TEXT($J10,"0")&amp;" viagem(ns) de frota","CRITICO - faltam "&amp;TEXT($J10,"0")&amp;" viagens: acionar plano"))))</f>
        <v/>
      </c>
      <c r="L10" s="51"/>
      <c r="M10" s="51"/>
      <c r="N10" s="51"/>
      <c r="O10" s="50"/>
      <c r="P10" s="51"/>
      <c r="Q10" s="51"/>
      <c r="R10" s="55"/>
      <c r="S10" s="56"/>
      <c r="T10" s="56"/>
      <c r="U10" s="56"/>
      <c r="V10" s="19"/>
      <c r="W10" s="51"/>
      <c r="X10" s="57" t="str">
        <f t="shared" si="0"/>
        <v/>
      </c>
      <c r="Y10" s="57" t="str">
        <f t="shared" si="1"/>
        <v/>
      </c>
      <c r="Z10" s="57" t="str">
        <f t="shared" si="2"/>
        <v/>
      </c>
      <c r="AA10" s="58" t="str">
        <f t="shared" si="3"/>
        <v/>
      </c>
      <c r="AB10" s="58" t="str">
        <f t="shared" si="4"/>
        <v/>
      </c>
      <c r="AC10" s="57" t="str">
        <f t="shared" si="5"/>
        <v/>
      </c>
      <c r="AD10" s="59" t="str">
        <f t="shared" si="6"/>
        <v/>
      </c>
      <c r="AE10" s="54" t="str">
        <f>IF($B10="","",IF(NOT(ISNUMBER($AA10)),"Aguardando fechamento",IF($P10&gt;0,"ACAO: "&amp;TEXT($P10,"0")&amp;" carga(s) terceirizada(s) de forma evitavel",IF(IF(ISNUMBER($Z10),$Z10,0)&gt;IFERROR(INDEX(Parâmetros!$G$5:$G$10,MATCH($C10,Parâmetros!$B$5:$B$10,0)),""),"ALERTA: terceiros acima da meta",IF($AA10&gt;IFERROR(INDEX(Parâmetros!$D$5:$D$10,MATCH($C10,Parâmetros!$B$5:$B$10,0)),""),"ALERTA: custo/km acima da meta","OK - dentro das metas")))))</f>
        <v/>
      </c>
    </row>
    <row r="11" spans="2:31" ht="15" customHeight="1" x14ac:dyDescent="0.3">
      <c r="B11" s="48"/>
      <c r="C11" s="49"/>
      <c r="D11" s="50"/>
      <c r="E11" s="51"/>
      <c r="F11" s="52"/>
      <c r="G11" s="51"/>
      <c r="H11" s="51"/>
      <c r="I11" s="53" t="str">
        <f>IF($B11="","",IFERROR($G11*IFERROR(INDEX(Parâmetros!$C$5:$C$10,MATCH($C11,Parâmetros!$B$5:$B$10,0)),"")/Parâmetros!$C$13,""))</f>
        <v/>
      </c>
      <c r="J11" s="53" t="str">
        <f>IF($B11="","",IFERROR($E11*IFERROR(INDEX(Parâmetros!$E$5:$E$10,MATCH($C11,Parâmetros!$B$5:$B$10,0)),"")-$I11,""))</f>
        <v/>
      </c>
      <c r="K11" s="54" t="str">
        <f>IF($B11="","",IF(NOT(ISNUMBER($J11)),"",IF($J11&lt;=0,"OK - frota cobre a meta do dia",IF($J11&lt;=Parâmetros!$C$15,"ATENCAO - faltam "&amp;TEXT($J11,"0")&amp;" viagem(ns) de frota","CRITICO - faltam "&amp;TEXT($J11,"0")&amp;" viagens: acionar plano"))))</f>
        <v/>
      </c>
      <c r="L11" s="51"/>
      <c r="M11" s="51"/>
      <c r="N11" s="51"/>
      <c r="O11" s="50"/>
      <c r="P11" s="51"/>
      <c r="Q11" s="51"/>
      <c r="R11" s="55"/>
      <c r="S11" s="56"/>
      <c r="T11" s="56"/>
      <c r="U11" s="56"/>
      <c r="V11" s="19"/>
      <c r="W11" s="51"/>
      <c r="X11" s="57" t="str">
        <f t="shared" si="0"/>
        <v/>
      </c>
      <c r="Y11" s="57" t="str">
        <f t="shared" si="1"/>
        <v/>
      </c>
      <c r="Z11" s="57" t="str">
        <f t="shared" si="2"/>
        <v/>
      </c>
      <c r="AA11" s="58" t="str">
        <f t="shared" si="3"/>
        <v/>
      </c>
      <c r="AB11" s="58" t="str">
        <f t="shared" si="4"/>
        <v/>
      </c>
      <c r="AC11" s="57" t="str">
        <f t="shared" si="5"/>
        <v/>
      </c>
      <c r="AD11" s="59" t="str">
        <f t="shared" si="6"/>
        <v/>
      </c>
      <c r="AE11" s="54" t="str">
        <f>IF($B11="","",IF(NOT(ISNUMBER($AA11)),"Aguardando fechamento",IF($P11&gt;0,"ACAO: "&amp;TEXT($P11,"0")&amp;" carga(s) terceirizada(s) de forma evitavel",IF(IF(ISNUMBER($Z11),$Z11,0)&gt;IFERROR(INDEX(Parâmetros!$G$5:$G$10,MATCH($C11,Parâmetros!$B$5:$B$10,0)),""),"ALERTA: terceiros acima da meta",IF($AA11&gt;IFERROR(INDEX(Parâmetros!$D$5:$D$10,MATCH($C11,Parâmetros!$B$5:$B$10,0)),""),"ALERTA: custo/km acima da meta","OK - dentro das metas")))))</f>
        <v/>
      </c>
    </row>
    <row r="12" spans="2:31" ht="15" customHeight="1" x14ac:dyDescent="0.3">
      <c r="B12" s="48"/>
      <c r="C12" s="49"/>
      <c r="D12" s="50"/>
      <c r="E12" s="51"/>
      <c r="F12" s="52"/>
      <c r="G12" s="51"/>
      <c r="H12" s="51"/>
      <c r="I12" s="53" t="str">
        <f>IF($B12="","",IFERROR($G12*IFERROR(INDEX(Parâmetros!$C$5:$C$10,MATCH($C12,Parâmetros!$B$5:$B$10,0)),"")/Parâmetros!$C$13,""))</f>
        <v/>
      </c>
      <c r="J12" s="53" t="str">
        <f>IF($B12="","",IFERROR($E12*IFERROR(INDEX(Parâmetros!$E$5:$E$10,MATCH($C12,Parâmetros!$B$5:$B$10,0)),"")-$I12,""))</f>
        <v/>
      </c>
      <c r="K12" s="54" t="str">
        <f>IF($B12="","",IF(NOT(ISNUMBER($J12)),"",IF($J12&lt;=0,"OK - frota cobre a meta do dia",IF($J12&lt;=Parâmetros!$C$15,"ATENCAO - faltam "&amp;TEXT($J12,"0")&amp;" viagem(ns) de frota","CRITICO - faltam "&amp;TEXT($J12,"0")&amp;" viagens: acionar plano"))))</f>
        <v/>
      </c>
      <c r="L12" s="51"/>
      <c r="M12" s="51"/>
      <c r="N12" s="51"/>
      <c r="O12" s="50"/>
      <c r="P12" s="51"/>
      <c r="Q12" s="51"/>
      <c r="R12" s="55"/>
      <c r="S12" s="56"/>
      <c r="T12" s="56"/>
      <c r="U12" s="56"/>
      <c r="V12" s="19"/>
      <c r="W12" s="51"/>
      <c r="X12" s="57" t="str">
        <f t="shared" si="0"/>
        <v/>
      </c>
      <c r="Y12" s="57" t="str">
        <f t="shared" si="1"/>
        <v/>
      </c>
      <c r="Z12" s="57" t="str">
        <f t="shared" si="2"/>
        <v/>
      </c>
      <c r="AA12" s="58" t="str">
        <f t="shared" si="3"/>
        <v/>
      </c>
      <c r="AB12" s="58" t="str">
        <f t="shared" si="4"/>
        <v/>
      </c>
      <c r="AC12" s="57" t="str">
        <f t="shared" si="5"/>
        <v/>
      </c>
      <c r="AD12" s="59" t="str">
        <f t="shared" si="6"/>
        <v/>
      </c>
      <c r="AE12" s="54" t="str">
        <f>IF($B12="","",IF(NOT(ISNUMBER($AA12)),"Aguardando fechamento",IF($P12&gt;0,"ACAO: "&amp;TEXT($P12,"0")&amp;" carga(s) terceirizada(s) de forma evitavel",IF(IF(ISNUMBER($Z12),$Z12,0)&gt;IFERROR(INDEX(Parâmetros!$G$5:$G$10,MATCH($C12,Parâmetros!$B$5:$B$10,0)),""),"ALERTA: terceiros acima da meta",IF($AA12&gt;IFERROR(INDEX(Parâmetros!$D$5:$D$10,MATCH($C12,Parâmetros!$B$5:$B$10,0)),""),"ALERTA: custo/km acima da meta","OK - dentro das metas")))))</f>
        <v/>
      </c>
    </row>
    <row r="13" spans="2:31" ht="15" customHeight="1" x14ac:dyDescent="0.3">
      <c r="B13" s="48"/>
      <c r="C13" s="49"/>
      <c r="D13" s="50"/>
      <c r="E13" s="51"/>
      <c r="F13" s="52"/>
      <c r="G13" s="51"/>
      <c r="H13" s="51"/>
      <c r="I13" s="53" t="str">
        <f>IF($B13="","",IFERROR($G13*IFERROR(INDEX(Parâmetros!$C$5:$C$10,MATCH($C13,Parâmetros!$B$5:$B$10,0)),"")/Parâmetros!$C$13,""))</f>
        <v/>
      </c>
      <c r="J13" s="53" t="str">
        <f>IF($B13="","",IFERROR($E13*IFERROR(INDEX(Parâmetros!$E$5:$E$10,MATCH($C13,Parâmetros!$B$5:$B$10,0)),"")-$I13,""))</f>
        <v/>
      </c>
      <c r="K13" s="54" t="str">
        <f>IF($B13="","",IF(NOT(ISNUMBER($J13)),"",IF($J13&lt;=0,"OK - frota cobre a meta do dia",IF($J13&lt;=Parâmetros!$C$15,"ATENCAO - faltam "&amp;TEXT($J13,"0")&amp;" viagem(ns) de frota","CRITICO - faltam "&amp;TEXT($J13,"0")&amp;" viagens: acionar plano"))))</f>
        <v/>
      </c>
      <c r="L13" s="51"/>
      <c r="M13" s="51"/>
      <c r="N13" s="51"/>
      <c r="O13" s="50"/>
      <c r="P13" s="51"/>
      <c r="Q13" s="51"/>
      <c r="R13" s="55"/>
      <c r="S13" s="56"/>
      <c r="T13" s="56"/>
      <c r="U13" s="56"/>
      <c r="V13" s="19"/>
      <c r="W13" s="51"/>
      <c r="X13" s="57" t="str">
        <f t="shared" si="0"/>
        <v/>
      </c>
      <c r="Y13" s="57" t="str">
        <f t="shared" si="1"/>
        <v/>
      </c>
      <c r="Z13" s="57" t="str">
        <f t="shared" si="2"/>
        <v/>
      </c>
      <c r="AA13" s="58" t="str">
        <f t="shared" si="3"/>
        <v/>
      </c>
      <c r="AB13" s="58" t="str">
        <f t="shared" si="4"/>
        <v/>
      </c>
      <c r="AC13" s="57" t="str">
        <f t="shared" si="5"/>
        <v/>
      </c>
      <c r="AD13" s="59" t="str">
        <f t="shared" si="6"/>
        <v/>
      </c>
      <c r="AE13" s="54" t="str">
        <f>IF($B13="","",IF(NOT(ISNUMBER($AA13)),"Aguardando fechamento",IF($P13&gt;0,"ACAO: "&amp;TEXT($P13,"0")&amp;" carga(s) terceirizada(s) de forma evitavel",IF(IF(ISNUMBER($Z13),$Z13,0)&gt;IFERROR(INDEX(Parâmetros!$G$5:$G$10,MATCH($C13,Parâmetros!$B$5:$B$10,0)),""),"ALERTA: terceiros acima da meta",IF($AA13&gt;IFERROR(INDEX(Parâmetros!$D$5:$D$10,MATCH($C13,Parâmetros!$B$5:$B$10,0)),""),"ALERTA: custo/km acima da meta","OK - dentro das metas")))))</f>
        <v/>
      </c>
    </row>
    <row r="14" spans="2:31" ht="15" customHeight="1" x14ac:dyDescent="0.3">
      <c r="B14" s="48"/>
      <c r="C14" s="49"/>
      <c r="D14" s="50"/>
      <c r="E14" s="51"/>
      <c r="F14" s="52"/>
      <c r="G14" s="51"/>
      <c r="H14" s="51"/>
      <c r="I14" s="53" t="str">
        <f>IF($B14="","",IFERROR($G14*IFERROR(INDEX(Parâmetros!$C$5:$C$10,MATCH($C14,Parâmetros!$B$5:$B$10,0)),"")/Parâmetros!$C$13,""))</f>
        <v/>
      </c>
      <c r="J14" s="53" t="str">
        <f>IF($B14="","",IFERROR($E14*IFERROR(INDEX(Parâmetros!$E$5:$E$10,MATCH($C14,Parâmetros!$B$5:$B$10,0)),"")-$I14,""))</f>
        <v/>
      </c>
      <c r="K14" s="54" t="str">
        <f>IF($B14="","",IF(NOT(ISNUMBER($J14)),"",IF($J14&lt;=0,"OK - frota cobre a meta do dia",IF($J14&lt;=Parâmetros!$C$15,"ATENCAO - faltam "&amp;TEXT($J14,"0")&amp;" viagem(ns) de frota","CRITICO - faltam "&amp;TEXT($J14,"0")&amp;" viagens: acionar plano"))))</f>
        <v/>
      </c>
      <c r="L14" s="51"/>
      <c r="M14" s="51"/>
      <c r="N14" s="51"/>
      <c r="O14" s="50"/>
      <c r="P14" s="51"/>
      <c r="Q14" s="51"/>
      <c r="R14" s="55"/>
      <c r="S14" s="56"/>
      <c r="T14" s="56"/>
      <c r="U14" s="56"/>
      <c r="V14" s="19"/>
      <c r="W14" s="51"/>
      <c r="X14" s="57" t="str">
        <f t="shared" si="0"/>
        <v/>
      </c>
      <c r="Y14" s="57" t="str">
        <f t="shared" si="1"/>
        <v/>
      </c>
      <c r="Z14" s="57" t="str">
        <f t="shared" si="2"/>
        <v/>
      </c>
      <c r="AA14" s="58" t="str">
        <f t="shared" si="3"/>
        <v/>
      </c>
      <c r="AB14" s="58" t="str">
        <f t="shared" si="4"/>
        <v/>
      </c>
      <c r="AC14" s="57" t="str">
        <f t="shared" si="5"/>
        <v/>
      </c>
      <c r="AD14" s="59" t="str">
        <f t="shared" si="6"/>
        <v/>
      </c>
      <c r="AE14" s="54" t="str">
        <f>IF($B14="","",IF(NOT(ISNUMBER($AA14)),"Aguardando fechamento",IF($P14&gt;0,"ACAO: "&amp;TEXT($P14,"0")&amp;" carga(s) terceirizada(s) de forma evitavel",IF(IF(ISNUMBER($Z14),$Z14,0)&gt;IFERROR(INDEX(Parâmetros!$G$5:$G$10,MATCH($C14,Parâmetros!$B$5:$B$10,0)),""),"ALERTA: terceiros acima da meta",IF($AA14&gt;IFERROR(INDEX(Parâmetros!$D$5:$D$10,MATCH($C14,Parâmetros!$B$5:$B$10,0)),""),"ALERTA: custo/km acima da meta","OK - dentro das metas")))))</f>
        <v/>
      </c>
    </row>
    <row r="15" spans="2:31" ht="15" customHeight="1" x14ac:dyDescent="0.3">
      <c r="B15" s="48"/>
      <c r="C15" s="49"/>
      <c r="D15" s="50"/>
      <c r="E15" s="51"/>
      <c r="F15" s="52"/>
      <c r="G15" s="51"/>
      <c r="H15" s="51"/>
      <c r="I15" s="53" t="str">
        <f>IF($B15="","",IFERROR($G15*IFERROR(INDEX(Parâmetros!$C$5:$C$10,MATCH($C15,Parâmetros!$B$5:$B$10,0)),"")/Parâmetros!$C$13,""))</f>
        <v/>
      </c>
      <c r="J15" s="53" t="str">
        <f>IF($B15="","",IFERROR($E15*IFERROR(INDEX(Parâmetros!$E$5:$E$10,MATCH($C15,Parâmetros!$B$5:$B$10,0)),"")-$I15,""))</f>
        <v/>
      </c>
      <c r="K15" s="54" t="str">
        <f>IF($B15="","",IF(NOT(ISNUMBER($J15)),"",IF($J15&lt;=0,"OK - frota cobre a meta do dia",IF($J15&lt;=Parâmetros!$C$15,"ATENCAO - faltam "&amp;TEXT($J15,"0")&amp;" viagem(ns) de frota","CRITICO - faltam "&amp;TEXT($J15,"0")&amp;" viagens: acionar plano"))))</f>
        <v/>
      </c>
      <c r="L15" s="51"/>
      <c r="M15" s="51"/>
      <c r="N15" s="51"/>
      <c r="O15" s="50"/>
      <c r="P15" s="51"/>
      <c r="Q15" s="51"/>
      <c r="R15" s="55"/>
      <c r="S15" s="56"/>
      <c r="T15" s="56"/>
      <c r="U15" s="56"/>
      <c r="V15" s="19"/>
      <c r="W15" s="51"/>
      <c r="X15" s="57" t="str">
        <f t="shared" si="0"/>
        <v/>
      </c>
      <c r="Y15" s="57" t="str">
        <f t="shared" si="1"/>
        <v/>
      </c>
      <c r="Z15" s="57" t="str">
        <f t="shared" si="2"/>
        <v/>
      </c>
      <c r="AA15" s="58" t="str">
        <f t="shared" si="3"/>
        <v/>
      </c>
      <c r="AB15" s="58" t="str">
        <f t="shared" si="4"/>
        <v/>
      </c>
      <c r="AC15" s="57" t="str">
        <f t="shared" si="5"/>
        <v/>
      </c>
      <c r="AD15" s="59" t="str">
        <f t="shared" si="6"/>
        <v/>
      </c>
      <c r="AE15" s="54" t="str">
        <f>IF($B15="","",IF(NOT(ISNUMBER($AA15)),"Aguardando fechamento",IF($P15&gt;0,"ACAO: "&amp;TEXT($P15,"0")&amp;" carga(s) terceirizada(s) de forma evitavel",IF(IF(ISNUMBER($Z15),$Z15,0)&gt;IFERROR(INDEX(Parâmetros!$G$5:$G$10,MATCH($C15,Parâmetros!$B$5:$B$10,0)),""),"ALERTA: terceiros acima da meta",IF($AA15&gt;IFERROR(INDEX(Parâmetros!$D$5:$D$10,MATCH($C15,Parâmetros!$B$5:$B$10,0)),""),"ALERTA: custo/km acima da meta","OK - dentro das metas")))))</f>
        <v/>
      </c>
    </row>
    <row r="16" spans="2:31" ht="15" customHeight="1" x14ac:dyDescent="0.3">
      <c r="B16" s="48"/>
      <c r="C16" s="49"/>
      <c r="D16" s="50"/>
      <c r="E16" s="51"/>
      <c r="F16" s="52"/>
      <c r="G16" s="51"/>
      <c r="H16" s="51"/>
      <c r="I16" s="53" t="str">
        <f>IF($B16="","",IFERROR($G16*IFERROR(INDEX(Parâmetros!$C$5:$C$10,MATCH($C16,Parâmetros!$B$5:$B$10,0)),"")/Parâmetros!$C$13,""))</f>
        <v/>
      </c>
      <c r="J16" s="53" t="str">
        <f>IF($B16="","",IFERROR($E16*IFERROR(INDEX(Parâmetros!$E$5:$E$10,MATCH($C16,Parâmetros!$B$5:$B$10,0)),"")-$I16,""))</f>
        <v/>
      </c>
      <c r="K16" s="54" t="str">
        <f>IF($B16="","",IF(NOT(ISNUMBER($J16)),"",IF($J16&lt;=0,"OK - frota cobre a meta do dia",IF($J16&lt;=Parâmetros!$C$15,"ATENCAO - faltam "&amp;TEXT($J16,"0")&amp;" viagem(ns) de frota","CRITICO - faltam "&amp;TEXT($J16,"0")&amp;" viagens: acionar plano"))))</f>
        <v/>
      </c>
      <c r="L16" s="51"/>
      <c r="M16" s="51"/>
      <c r="N16" s="51"/>
      <c r="O16" s="50"/>
      <c r="P16" s="51"/>
      <c r="Q16" s="51"/>
      <c r="R16" s="55"/>
      <c r="S16" s="56"/>
      <c r="T16" s="56"/>
      <c r="U16" s="56"/>
      <c r="V16" s="19"/>
      <c r="W16" s="51"/>
      <c r="X16" s="57" t="str">
        <f t="shared" si="0"/>
        <v/>
      </c>
      <c r="Y16" s="57" t="str">
        <f t="shared" si="1"/>
        <v/>
      </c>
      <c r="Z16" s="57" t="str">
        <f t="shared" si="2"/>
        <v/>
      </c>
      <c r="AA16" s="58" t="str">
        <f t="shared" si="3"/>
        <v/>
      </c>
      <c r="AB16" s="58" t="str">
        <f t="shared" si="4"/>
        <v/>
      </c>
      <c r="AC16" s="57" t="str">
        <f t="shared" si="5"/>
        <v/>
      </c>
      <c r="AD16" s="59" t="str">
        <f t="shared" si="6"/>
        <v/>
      </c>
      <c r="AE16" s="54" t="str">
        <f>IF($B16="","",IF(NOT(ISNUMBER($AA16)),"Aguardando fechamento",IF($P16&gt;0,"ACAO: "&amp;TEXT($P16,"0")&amp;" carga(s) terceirizada(s) de forma evitavel",IF(IF(ISNUMBER($Z16),$Z16,0)&gt;IFERROR(INDEX(Parâmetros!$G$5:$G$10,MATCH($C16,Parâmetros!$B$5:$B$10,0)),""),"ALERTA: terceiros acima da meta",IF($AA16&gt;IFERROR(INDEX(Parâmetros!$D$5:$D$10,MATCH($C16,Parâmetros!$B$5:$B$10,0)),""),"ALERTA: custo/km acima da meta","OK - dentro das metas")))))</f>
        <v/>
      </c>
    </row>
    <row r="17" spans="2:31" ht="15" customHeight="1" x14ac:dyDescent="0.3">
      <c r="B17" s="48"/>
      <c r="C17" s="49"/>
      <c r="D17" s="50"/>
      <c r="E17" s="51"/>
      <c r="F17" s="52"/>
      <c r="G17" s="51"/>
      <c r="H17" s="51"/>
      <c r="I17" s="53" t="str">
        <f>IF($B17="","",IFERROR($G17*IFERROR(INDEX(Parâmetros!$C$5:$C$10,MATCH($C17,Parâmetros!$B$5:$B$10,0)),"")/Parâmetros!$C$13,""))</f>
        <v/>
      </c>
      <c r="J17" s="53" t="str">
        <f>IF($B17="","",IFERROR($E17*IFERROR(INDEX(Parâmetros!$E$5:$E$10,MATCH($C17,Parâmetros!$B$5:$B$10,0)),"")-$I17,""))</f>
        <v/>
      </c>
      <c r="K17" s="54" t="str">
        <f>IF($B17="","",IF(NOT(ISNUMBER($J17)),"",IF($J17&lt;=0,"OK - frota cobre a meta do dia",IF($J17&lt;=Parâmetros!$C$15,"ATENCAO - faltam "&amp;TEXT($J17,"0")&amp;" viagem(ns) de frota","CRITICO - faltam "&amp;TEXT($J17,"0")&amp;" viagens: acionar plano"))))</f>
        <v/>
      </c>
      <c r="L17" s="51"/>
      <c r="M17" s="51"/>
      <c r="N17" s="51"/>
      <c r="O17" s="50"/>
      <c r="P17" s="51"/>
      <c r="Q17" s="51"/>
      <c r="R17" s="55"/>
      <c r="S17" s="56"/>
      <c r="T17" s="56"/>
      <c r="U17" s="56"/>
      <c r="V17" s="19"/>
      <c r="W17" s="51"/>
      <c r="X17" s="57" t="str">
        <f t="shared" si="0"/>
        <v/>
      </c>
      <c r="Y17" s="57" t="str">
        <f t="shared" si="1"/>
        <v/>
      </c>
      <c r="Z17" s="57" t="str">
        <f t="shared" si="2"/>
        <v/>
      </c>
      <c r="AA17" s="58" t="str">
        <f t="shared" si="3"/>
        <v/>
      </c>
      <c r="AB17" s="58" t="str">
        <f t="shared" si="4"/>
        <v/>
      </c>
      <c r="AC17" s="57" t="str">
        <f t="shared" si="5"/>
        <v/>
      </c>
      <c r="AD17" s="59" t="str">
        <f t="shared" si="6"/>
        <v/>
      </c>
      <c r="AE17" s="54" t="str">
        <f>IF($B17="","",IF(NOT(ISNUMBER($AA17)),"Aguardando fechamento",IF($P17&gt;0,"ACAO: "&amp;TEXT($P17,"0")&amp;" carga(s) terceirizada(s) de forma evitavel",IF(IF(ISNUMBER($Z17),$Z17,0)&gt;IFERROR(INDEX(Parâmetros!$G$5:$G$10,MATCH($C17,Parâmetros!$B$5:$B$10,0)),""),"ALERTA: terceiros acima da meta",IF($AA17&gt;IFERROR(INDEX(Parâmetros!$D$5:$D$10,MATCH($C17,Parâmetros!$B$5:$B$10,0)),""),"ALERTA: custo/km acima da meta","OK - dentro das metas")))))</f>
        <v/>
      </c>
    </row>
    <row r="18" spans="2:31" ht="15" customHeight="1" x14ac:dyDescent="0.3">
      <c r="B18" s="48"/>
      <c r="C18" s="49"/>
      <c r="D18" s="50"/>
      <c r="E18" s="51"/>
      <c r="F18" s="52"/>
      <c r="G18" s="51"/>
      <c r="H18" s="51"/>
      <c r="I18" s="53" t="str">
        <f>IF($B18="","",IFERROR($G18*IFERROR(INDEX(Parâmetros!$C$5:$C$10,MATCH($C18,Parâmetros!$B$5:$B$10,0)),"")/Parâmetros!$C$13,""))</f>
        <v/>
      </c>
      <c r="J18" s="53" t="str">
        <f>IF($B18="","",IFERROR($E18*IFERROR(INDEX(Parâmetros!$E$5:$E$10,MATCH($C18,Parâmetros!$B$5:$B$10,0)),"")-$I18,""))</f>
        <v/>
      </c>
      <c r="K18" s="54" t="str">
        <f>IF($B18="","",IF(NOT(ISNUMBER($J18)),"",IF($J18&lt;=0,"OK - frota cobre a meta do dia",IF($J18&lt;=Parâmetros!$C$15,"ATENCAO - faltam "&amp;TEXT($J18,"0")&amp;" viagem(ns) de frota","CRITICO - faltam "&amp;TEXT($J18,"0")&amp;" viagens: acionar plano"))))</f>
        <v/>
      </c>
      <c r="L18" s="51"/>
      <c r="M18" s="51"/>
      <c r="N18" s="51"/>
      <c r="O18" s="50"/>
      <c r="P18" s="51"/>
      <c r="Q18" s="51"/>
      <c r="R18" s="55"/>
      <c r="S18" s="56"/>
      <c r="T18" s="56"/>
      <c r="U18" s="56"/>
      <c r="V18" s="19"/>
      <c r="W18" s="51"/>
      <c r="X18" s="57" t="str">
        <f t="shared" si="0"/>
        <v/>
      </c>
      <c r="Y18" s="57" t="str">
        <f t="shared" si="1"/>
        <v/>
      </c>
      <c r="Z18" s="57" t="str">
        <f t="shared" si="2"/>
        <v/>
      </c>
      <c r="AA18" s="58" t="str">
        <f t="shared" si="3"/>
        <v/>
      </c>
      <c r="AB18" s="58" t="str">
        <f t="shared" si="4"/>
        <v/>
      </c>
      <c r="AC18" s="57" t="str">
        <f t="shared" si="5"/>
        <v/>
      </c>
      <c r="AD18" s="59" t="str">
        <f t="shared" si="6"/>
        <v/>
      </c>
      <c r="AE18" s="54" t="str">
        <f>IF($B18="","",IF(NOT(ISNUMBER($AA18)),"Aguardando fechamento",IF($P18&gt;0,"ACAO: "&amp;TEXT($P18,"0")&amp;" carga(s) terceirizada(s) de forma evitavel",IF(IF(ISNUMBER($Z18),$Z18,0)&gt;IFERROR(INDEX(Parâmetros!$G$5:$G$10,MATCH($C18,Parâmetros!$B$5:$B$10,0)),""),"ALERTA: terceiros acima da meta",IF($AA18&gt;IFERROR(INDEX(Parâmetros!$D$5:$D$10,MATCH($C18,Parâmetros!$B$5:$B$10,0)),""),"ALERTA: custo/km acima da meta","OK - dentro das metas")))))</f>
        <v/>
      </c>
    </row>
    <row r="19" spans="2:31" ht="15" customHeight="1" x14ac:dyDescent="0.3">
      <c r="B19" s="48"/>
      <c r="C19" s="49"/>
      <c r="D19" s="50"/>
      <c r="E19" s="51"/>
      <c r="F19" s="52"/>
      <c r="G19" s="51"/>
      <c r="H19" s="51"/>
      <c r="I19" s="53" t="str">
        <f>IF($B19="","",IFERROR($G19*IFERROR(INDEX(Parâmetros!$C$5:$C$10,MATCH($C19,Parâmetros!$B$5:$B$10,0)),"")/Parâmetros!$C$13,""))</f>
        <v/>
      </c>
      <c r="J19" s="53" t="str">
        <f>IF($B19="","",IFERROR($E19*IFERROR(INDEX(Parâmetros!$E$5:$E$10,MATCH($C19,Parâmetros!$B$5:$B$10,0)),"")-$I19,""))</f>
        <v/>
      </c>
      <c r="K19" s="54" t="str">
        <f>IF($B19="","",IF(NOT(ISNUMBER($J19)),"",IF($J19&lt;=0,"OK - frota cobre a meta do dia",IF($J19&lt;=Parâmetros!$C$15,"ATENCAO - faltam "&amp;TEXT($J19,"0")&amp;" viagem(ns) de frota","CRITICO - faltam "&amp;TEXT($J19,"0")&amp;" viagens: acionar plano"))))</f>
        <v/>
      </c>
      <c r="L19" s="51"/>
      <c r="M19" s="51"/>
      <c r="N19" s="51"/>
      <c r="O19" s="50"/>
      <c r="P19" s="51"/>
      <c r="Q19" s="51"/>
      <c r="R19" s="55"/>
      <c r="S19" s="56"/>
      <c r="T19" s="56"/>
      <c r="U19" s="56"/>
      <c r="V19" s="19"/>
      <c r="W19" s="51"/>
      <c r="X19" s="57" t="str">
        <f t="shared" si="0"/>
        <v/>
      </c>
      <c r="Y19" s="57" t="str">
        <f t="shared" si="1"/>
        <v/>
      </c>
      <c r="Z19" s="57" t="str">
        <f t="shared" si="2"/>
        <v/>
      </c>
      <c r="AA19" s="58" t="str">
        <f t="shared" si="3"/>
        <v/>
      </c>
      <c r="AB19" s="58" t="str">
        <f t="shared" si="4"/>
        <v/>
      </c>
      <c r="AC19" s="57" t="str">
        <f t="shared" si="5"/>
        <v/>
      </c>
      <c r="AD19" s="59" t="str">
        <f t="shared" si="6"/>
        <v/>
      </c>
      <c r="AE19" s="54" t="str">
        <f>IF($B19="","",IF(NOT(ISNUMBER($AA19)),"Aguardando fechamento",IF($P19&gt;0,"ACAO: "&amp;TEXT($P19,"0")&amp;" carga(s) terceirizada(s) de forma evitavel",IF(IF(ISNUMBER($Z19),$Z19,0)&gt;IFERROR(INDEX(Parâmetros!$G$5:$G$10,MATCH($C19,Parâmetros!$B$5:$B$10,0)),""),"ALERTA: terceiros acima da meta",IF($AA19&gt;IFERROR(INDEX(Parâmetros!$D$5:$D$10,MATCH($C19,Parâmetros!$B$5:$B$10,0)),""),"ALERTA: custo/km acima da meta","OK - dentro das metas")))))</f>
        <v/>
      </c>
    </row>
    <row r="20" spans="2:31" ht="15" customHeight="1" x14ac:dyDescent="0.3">
      <c r="B20" s="48"/>
      <c r="C20" s="49"/>
      <c r="D20" s="50"/>
      <c r="E20" s="51"/>
      <c r="F20" s="52"/>
      <c r="G20" s="51"/>
      <c r="H20" s="51"/>
      <c r="I20" s="53" t="str">
        <f>IF($B20="","",IFERROR($G20*IFERROR(INDEX(Parâmetros!$C$5:$C$10,MATCH($C20,Parâmetros!$B$5:$B$10,0)),"")/Parâmetros!$C$13,""))</f>
        <v/>
      </c>
      <c r="J20" s="53" t="str">
        <f>IF($B20="","",IFERROR($E20*IFERROR(INDEX(Parâmetros!$E$5:$E$10,MATCH($C20,Parâmetros!$B$5:$B$10,0)),"")-$I20,""))</f>
        <v/>
      </c>
      <c r="K20" s="54" t="str">
        <f>IF($B20="","",IF(NOT(ISNUMBER($J20)),"",IF($J20&lt;=0,"OK - frota cobre a meta do dia",IF($J20&lt;=Parâmetros!$C$15,"ATENCAO - faltam "&amp;TEXT($J20,"0")&amp;" viagem(ns) de frota","CRITICO - faltam "&amp;TEXT($J20,"0")&amp;" viagens: acionar plano"))))</f>
        <v/>
      </c>
      <c r="L20" s="51"/>
      <c r="M20" s="51"/>
      <c r="N20" s="51"/>
      <c r="O20" s="50"/>
      <c r="P20" s="51"/>
      <c r="Q20" s="51"/>
      <c r="R20" s="55"/>
      <c r="S20" s="56"/>
      <c r="T20" s="56"/>
      <c r="U20" s="56"/>
      <c r="V20" s="19"/>
      <c r="W20" s="51"/>
      <c r="X20" s="57" t="str">
        <f t="shared" si="0"/>
        <v/>
      </c>
      <c r="Y20" s="57" t="str">
        <f t="shared" si="1"/>
        <v/>
      </c>
      <c r="Z20" s="57" t="str">
        <f t="shared" si="2"/>
        <v/>
      </c>
      <c r="AA20" s="58" t="str">
        <f t="shared" si="3"/>
        <v/>
      </c>
      <c r="AB20" s="58" t="str">
        <f t="shared" si="4"/>
        <v/>
      </c>
      <c r="AC20" s="57" t="str">
        <f t="shared" si="5"/>
        <v/>
      </c>
      <c r="AD20" s="59" t="str">
        <f t="shared" si="6"/>
        <v/>
      </c>
      <c r="AE20" s="54" t="str">
        <f>IF($B20="","",IF(NOT(ISNUMBER($AA20)),"Aguardando fechamento",IF($P20&gt;0,"ACAO: "&amp;TEXT($P20,"0")&amp;" carga(s) terceirizada(s) de forma evitavel",IF(IF(ISNUMBER($Z20),$Z20,0)&gt;IFERROR(INDEX(Parâmetros!$G$5:$G$10,MATCH($C20,Parâmetros!$B$5:$B$10,0)),""),"ALERTA: terceiros acima da meta",IF($AA20&gt;IFERROR(INDEX(Parâmetros!$D$5:$D$10,MATCH($C20,Parâmetros!$B$5:$B$10,0)),""),"ALERTA: custo/km acima da meta","OK - dentro das metas")))))</f>
        <v/>
      </c>
    </row>
    <row r="21" spans="2:31" ht="15" customHeight="1" x14ac:dyDescent="0.3">
      <c r="B21" s="48"/>
      <c r="C21" s="49"/>
      <c r="D21" s="50"/>
      <c r="E21" s="51"/>
      <c r="F21" s="52"/>
      <c r="G21" s="51"/>
      <c r="H21" s="51"/>
      <c r="I21" s="53" t="str">
        <f>IF($B21="","",IFERROR($G21*IFERROR(INDEX(Parâmetros!$C$5:$C$10,MATCH($C21,Parâmetros!$B$5:$B$10,0)),"")/Parâmetros!$C$13,""))</f>
        <v/>
      </c>
      <c r="J21" s="53" t="str">
        <f>IF($B21="","",IFERROR($E21*IFERROR(INDEX(Parâmetros!$E$5:$E$10,MATCH($C21,Parâmetros!$B$5:$B$10,0)),"")-$I21,""))</f>
        <v/>
      </c>
      <c r="K21" s="54" t="str">
        <f>IF($B21="","",IF(NOT(ISNUMBER($J21)),"",IF($J21&lt;=0,"OK - frota cobre a meta do dia",IF($J21&lt;=Parâmetros!$C$15,"ATENCAO - faltam "&amp;TEXT($J21,"0")&amp;" viagem(ns) de frota","CRITICO - faltam "&amp;TEXT($J21,"0")&amp;" viagens: acionar plano"))))</f>
        <v/>
      </c>
      <c r="L21" s="51"/>
      <c r="M21" s="51"/>
      <c r="N21" s="51"/>
      <c r="O21" s="50"/>
      <c r="P21" s="51"/>
      <c r="Q21" s="51"/>
      <c r="R21" s="55"/>
      <c r="S21" s="56"/>
      <c r="T21" s="56"/>
      <c r="U21" s="56"/>
      <c r="V21" s="19"/>
      <c r="W21" s="51"/>
      <c r="X21" s="57" t="str">
        <f t="shared" si="0"/>
        <v/>
      </c>
      <c r="Y21" s="57" t="str">
        <f t="shared" si="1"/>
        <v/>
      </c>
      <c r="Z21" s="57" t="str">
        <f t="shared" si="2"/>
        <v/>
      </c>
      <c r="AA21" s="58" t="str">
        <f t="shared" si="3"/>
        <v/>
      </c>
      <c r="AB21" s="58" t="str">
        <f t="shared" si="4"/>
        <v/>
      </c>
      <c r="AC21" s="57" t="str">
        <f t="shared" si="5"/>
        <v/>
      </c>
      <c r="AD21" s="59" t="str">
        <f t="shared" si="6"/>
        <v/>
      </c>
      <c r="AE21" s="54" t="str">
        <f>IF($B21="","",IF(NOT(ISNUMBER($AA21)),"Aguardando fechamento",IF($P21&gt;0,"ACAO: "&amp;TEXT($P21,"0")&amp;" carga(s) terceirizada(s) de forma evitavel",IF(IF(ISNUMBER($Z21),$Z21,0)&gt;IFERROR(INDEX(Parâmetros!$G$5:$G$10,MATCH($C21,Parâmetros!$B$5:$B$10,0)),""),"ALERTA: terceiros acima da meta",IF($AA21&gt;IFERROR(INDEX(Parâmetros!$D$5:$D$10,MATCH($C21,Parâmetros!$B$5:$B$10,0)),""),"ALERTA: custo/km acima da meta","OK - dentro das metas")))))</f>
        <v/>
      </c>
    </row>
    <row r="22" spans="2:31" ht="15" customHeight="1" x14ac:dyDescent="0.3">
      <c r="B22" s="48"/>
      <c r="C22" s="49"/>
      <c r="D22" s="50"/>
      <c r="E22" s="51"/>
      <c r="F22" s="52"/>
      <c r="G22" s="51"/>
      <c r="H22" s="51"/>
      <c r="I22" s="53" t="str">
        <f>IF($B22="","",IFERROR($G22*IFERROR(INDEX(Parâmetros!$C$5:$C$10,MATCH($C22,Parâmetros!$B$5:$B$10,0)),"")/Parâmetros!$C$13,""))</f>
        <v/>
      </c>
      <c r="J22" s="53" t="str">
        <f>IF($B22="","",IFERROR($E22*IFERROR(INDEX(Parâmetros!$E$5:$E$10,MATCH($C22,Parâmetros!$B$5:$B$10,0)),"")-$I22,""))</f>
        <v/>
      </c>
      <c r="K22" s="54" t="str">
        <f>IF($B22="","",IF(NOT(ISNUMBER($J22)),"",IF($J22&lt;=0,"OK - frota cobre a meta do dia",IF($J22&lt;=Parâmetros!$C$15,"ATENCAO - faltam "&amp;TEXT($J22,"0")&amp;" viagem(ns) de frota","CRITICO - faltam "&amp;TEXT($J22,"0")&amp;" viagens: acionar plano"))))</f>
        <v/>
      </c>
      <c r="L22" s="51"/>
      <c r="M22" s="51"/>
      <c r="N22" s="51"/>
      <c r="O22" s="50"/>
      <c r="P22" s="51"/>
      <c r="Q22" s="51"/>
      <c r="R22" s="55"/>
      <c r="S22" s="56"/>
      <c r="T22" s="56"/>
      <c r="U22" s="56"/>
      <c r="V22" s="19"/>
      <c r="W22" s="51"/>
      <c r="X22" s="57" t="str">
        <f t="shared" si="0"/>
        <v/>
      </c>
      <c r="Y22" s="57" t="str">
        <f t="shared" si="1"/>
        <v/>
      </c>
      <c r="Z22" s="57" t="str">
        <f t="shared" si="2"/>
        <v/>
      </c>
      <c r="AA22" s="58" t="str">
        <f t="shared" si="3"/>
        <v/>
      </c>
      <c r="AB22" s="58" t="str">
        <f t="shared" si="4"/>
        <v/>
      </c>
      <c r="AC22" s="57" t="str">
        <f t="shared" si="5"/>
        <v/>
      </c>
      <c r="AD22" s="59" t="str">
        <f t="shared" si="6"/>
        <v/>
      </c>
      <c r="AE22" s="54" t="str">
        <f>IF($B22="","",IF(NOT(ISNUMBER($AA22)),"Aguardando fechamento",IF($P22&gt;0,"ACAO: "&amp;TEXT($P22,"0")&amp;" carga(s) terceirizada(s) de forma evitavel",IF(IF(ISNUMBER($Z22),$Z22,0)&gt;IFERROR(INDEX(Parâmetros!$G$5:$G$10,MATCH($C22,Parâmetros!$B$5:$B$10,0)),""),"ALERTA: terceiros acima da meta",IF($AA22&gt;IFERROR(INDEX(Parâmetros!$D$5:$D$10,MATCH($C22,Parâmetros!$B$5:$B$10,0)),""),"ALERTA: custo/km acima da meta","OK - dentro das metas")))))</f>
        <v/>
      </c>
    </row>
    <row r="23" spans="2:31" ht="15" customHeight="1" x14ac:dyDescent="0.3">
      <c r="B23" s="48"/>
      <c r="C23" s="49"/>
      <c r="D23" s="50"/>
      <c r="E23" s="51"/>
      <c r="F23" s="52"/>
      <c r="G23" s="51"/>
      <c r="H23" s="51"/>
      <c r="I23" s="53" t="str">
        <f>IF($B23="","",IFERROR($G23*IFERROR(INDEX(Parâmetros!$C$5:$C$10,MATCH($C23,Parâmetros!$B$5:$B$10,0)),"")/Parâmetros!$C$13,""))</f>
        <v/>
      </c>
      <c r="J23" s="53" t="str">
        <f>IF($B23="","",IFERROR($E23*IFERROR(INDEX(Parâmetros!$E$5:$E$10,MATCH($C23,Parâmetros!$B$5:$B$10,0)),"")-$I23,""))</f>
        <v/>
      </c>
      <c r="K23" s="54" t="str">
        <f>IF($B23="","",IF(NOT(ISNUMBER($J23)),"",IF($J23&lt;=0,"OK - frota cobre a meta do dia",IF($J23&lt;=Parâmetros!$C$15,"ATENCAO - faltam "&amp;TEXT($J23,"0")&amp;" viagem(ns) de frota","CRITICO - faltam "&amp;TEXT($J23,"0")&amp;" viagens: acionar plano"))))</f>
        <v/>
      </c>
      <c r="L23" s="51"/>
      <c r="M23" s="51"/>
      <c r="N23" s="51"/>
      <c r="O23" s="50"/>
      <c r="P23" s="51"/>
      <c r="Q23" s="51"/>
      <c r="R23" s="55"/>
      <c r="S23" s="56"/>
      <c r="T23" s="56"/>
      <c r="U23" s="56"/>
      <c r="V23" s="19"/>
      <c r="W23" s="51"/>
      <c r="X23" s="57" t="str">
        <f t="shared" si="0"/>
        <v/>
      </c>
      <c r="Y23" s="57" t="str">
        <f t="shared" si="1"/>
        <v/>
      </c>
      <c r="Z23" s="57" t="str">
        <f t="shared" si="2"/>
        <v/>
      </c>
      <c r="AA23" s="58" t="str">
        <f t="shared" si="3"/>
        <v/>
      </c>
      <c r="AB23" s="58" t="str">
        <f t="shared" si="4"/>
        <v/>
      </c>
      <c r="AC23" s="57" t="str">
        <f t="shared" si="5"/>
        <v/>
      </c>
      <c r="AD23" s="59" t="str">
        <f t="shared" si="6"/>
        <v/>
      </c>
      <c r="AE23" s="54" t="str">
        <f>IF($B23="","",IF(NOT(ISNUMBER($AA23)),"Aguardando fechamento",IF($P23&gt;0,"ACAO: "&amp;TEXT($P23,"0")&amp;" carga(s) terceirizada(s) de forma evitavel",IF(IF(ISNUMBER($Z23),$Z23,0)&gt;IFERROR(INDEX(Parâmetros!$G$5:$G$10,MATCH($C23,Parâmetros!$B$5:$B$10,0)),""),"ALERTA: terceiros acima da meta",IF($AA23&gt;IFERROR(INDEX(Parâmetros!$D$5:$D$10,MATCH($C23,Parâmetros!$B$5:$B$10,0)),""),"ALERTA: custo/km acima da meta","OK - dentro das metas")))))</f>
        <v/>
      </c>
    </row>
    <row r="24" spans="2:31" ht="15" customHeight="1" x14ac:dyDescent="0.3">
      <c r="B24" s="48"/>
      <c r="C24" s="49"/>
      <c r="D24" s="50"/>
      <c r="E24" s="51"/>
      <c r="F24" s="52"/>
      <c r="G24" s="51"/>
      <c r="H24" s="51"/>
      <c r="I24" s="53" t="str">
        <f>IF($B24="","",IFERROR($G24*IFERROR(INDEX(Parâmetros!$C$5:$C$10,MATCH($C24,Parâmetros!$B$5:$B$10,0)),"")/Parâmetros!$C$13,""))</f>
        <v/>
      </c>
      <c r="J24" s="53" t="str">
        <f>IF($B24="","",IFERROR($E24*IFERROR(INDEX(Parâmetros!$E$5:$E$10,MATCH($C24,Parâmetros!$B$5:$B$10,0)),"")-$I24,""))</f>
        <v/>
      </c>
      <c r="K24" s="54" t="str">
        <f>IF($B24="","",IF(NOT(ISNUMBER($J24)),"",IF($J24&lt;=0,"OK - frota cobre a meta do dia",IF($J24&lt;=Parâmetros!$C$15,"ATENCAO - faltam "&amp;TEXT($J24,"0")&amp;" viagem(ns) de frota","CRITICO - faltam "&amp;TEXT($J24,"0")&amp;" viagens: acionar plano"))))</f>
        <v/>
      </c>
      <c r="L24" s="51"/>
      <c r="M24" s="51"/>
      <c r="N24" s="51"/>
      <c r="O24" s="50"/>
      <c r="P24" s="51"/>
      <c r="Q24" s="51"/>
      <c r="R24" s="55"/>
      <c r="S24" s="56"/>
      <c r="T24" s="56"/>
      <c r="U24" s="56"/>
      <c r="V24" s="19"/>
      <c r="W24" s="51"/>
      <c r="X24" s="57" t="str">
        <f t="shared" si="0"/>
        <v/>
      </c>
      <c r="Y24" s="57" t="str">
        <f t="shared" si="1"/>
        <v/>
      </c>
      <c r="Z24" s="57" t="str">
        <f t="shared" si="2"/>
        <v/>
      </c>
      <c r="AA24" s="58" t="str">
        <f t="shared" si="3"/>
        <v/>
      </c>
      <c r="AB24" s="58" t="str">
        <f t="shared" si="4"/>
        <v/>
      </c>
      <c r="AC24" s="57" t="str">
        <f t="shared" si="5"/>
        <v/>
      </c>
      <c r="AD24" s="59" t="str">
        <f t="shared" si="6"/>
        <v/>
      </c>
      <c r="AE24" s="54" t="str">
        <f>IF($B24="","",IF(NOT(ISNUMBER($AA24)),"Aguardando fechamento",IF($P24&gt;0,"ACAO: "&amp;TEXT($P24,"0")&amp;" carga(s) terceirizada(s) de forma evitavel",IF(IF(ISNUMBER($Z24),$Z24,0)&gt;IFERROR(INDEX(Parâmetros!$G$5:$G$10,MATCH($C24,Parâmetros!$B$5:$B$10,0)),""),"ALERTA: terceiros acima da meta",IF($AA24&gt;IFERROR(INDEX(Parâmetros!$D$5:$D$10,MATCH($C24,Parâmetros!$B$5:$B$10,0)),""),"ALERTA: custo/km acima da meta","OK - dentro das metas")))))</f>
        <v/>
      </c>
    </row>
    <row r="25" spans="2:31" ht="15" customHeight="1" x14ac:dyDescent="0.3">
      <c r="B25" s="48"/>
      <c r="C25" s="49"/>
      <c r="D25" s="50"/>
      <c r="E25" s="51"/>
      <c r="F25" s="52"/>
      <c r="G25" s="51"/>
      <c r="H25" s="51"/>
      <c r="I25" s="53" t="str">
        <f>IF($B25="","",IFERROR($G25*IFERROR(INDEX(Parâmetros!$C$5:$C$10,MATCH($C25,Parâmetros!$B$5:$B$10,0)),"")/Parâmetros!$C$13,""))</f>
        <v/>
      </c>
      <c r="J25" s="53" t="str">
        <f>IF($B25="","",IFERROR($E25*IFERROR(INDEX(Parâmetros!$E$5:$E$10,MATCH($C25,Parâmetros!$B$5:$B$10,0)),"")-$I25,""))</f>
        <v/>
      </c>
      <c r="K25" s="54" t="str">
        <f>IF($B25="","",IF(NOT(ISNUMBER($J25)),"",IF($J25&lt;=0,"OK - frota cobre a meta do dia",IF($J25&lt;=Parâmetros!$C$15,"ATENCAO - faltam "&amp;TEXT($J25,"0")&amp;" viagem(ns) de frota","CRITICO - faltam "&amp;TEXT($J25,"0")&amp;" viagens: acionar plano"))))</f>
        <v/>
      </c>
      <c r="L25" s="51"/>
      <c r="M25" s="51"/>
      <c r="N25" s="51"/>
      <c r="O25" s="50"/>
      <c r="P25" s="51"/>
      <c r="Q25" s="51"/>
      <c r="R25" s="55"/>
      <c r="S25" s="56"/>
      <c r="T25" s="56"/>
      <c r="U25" s="56"/>
      <c r="V25" s="19"/>
      <c r="W25" s="51"/>
      <c r="X25" s="57" t="str">
        <f t="shared" si="0"/>
        <v/>
      </c>
      <c r="Y25" s="57" t="str">
        <f t="shared" si="1"/>
        <v/>
      </c>
      <c r="Z25" s="57" t="str">
        <f t="shared" si="2"/>
        <v/>
      </c>
      <c r="AA25" s="58" t="str">
        <f t="shared" si="3"/>
        <v/>
      </c>
      <c r="AB25" s="58" t="str">
        <f t="shared" si="4"/>
        <v/>
      </c>
      <c r="AC25" s="57" t="str">
        <f t="shared" si="5"/>
        <v/>
      </c>
      <c r="AD25" s="59" t="str">
        <f t="shared" si="6"/>
        <v/>
      </c>
      <c r="AE25" s="54" t="str">
        <f>IF($B25="","",IF(NOT(ISNUMBER($AA25)),"Aguardando fechamento",IF($P25&gt;0,"ACAO: "&amp;TEXT($P25,"0")&amp;" carga(s) terceirizada(s) de forma evitavel",IF(IF(ISNUMBER($Z25),$Z25,0)&gt;IFERROR(INDEX(Parâmetros!$G$5:$G$10,MATCH($C25,Parâmetros!$B$5:$B$10,0)),""),"ALERTA: terceiros acima da meta",IF($AA25&gt;IFERROR(INDEX(Parâmetros!$D$5:$D$10,MATCH($C25,Parâmetros!$B$5:$B$10,0)),""),"ALERTA: custo/km acima da meta","OK - dentro das metas")))))</f>
        <v/>
      </c>
    </row>
    <row r="26" spans="2:31" ht="15" customHeight="1" x14ac:dyDescent="0.3">
      <c r="B26" s="48"/>
      <c r="C26" s="49"/>
      <c r="D26" s="50"/>
      <c r="E26" s="51"/>
      <c r="F26" s="52"/>
      <c r="G26" s="51"/>
      <c r="H26" s="51"/>
      <c r="I26" s="53" t="str">
        <f>IF($B26="","",IFERROR($G26*IFERROR(INDEX(Parâmetros!$C$5:$C$10,MATCH($C26,Parâmetros!$B$5:$B$10,0)),"")/Parâmetros!$C$13,""))</f>
        <v/>
      </c>
      <c r="J26" s="53" t="str">
        <f>IF($B26="","",IFERROR($E26*IFERROR(INDEX(Parâmetros!$E$5:$E$10,MATCH($C26,Parâmetros!$B$5:$B$10,0)),"")-$I26,""))</f>
        <v/>
      </c>
      <c r="K26" s="54" t="str">
        <f>IF($B26="","",IF(NOT(ISNUMBER($J26)),"",IF($J26&lt;=0,"OK - frota cobre a meta do dia",IF($J26&lt;=Parâmetros!$C$15,"ATENCAO - faltam "&amp;TEXT($J26,"0")&amp;" viagem(ns) de frota","CRITICO - faltam "&amp;TEXT($J26,"0")&amp;" viagens: acionar plano"))))</f>
        <v/>
      </c>
      <c r="L26" s="51"/>
      <c r="M26" s="51"/>
      <c r="N26" s="51"/>
      <c r="O26" s="50"/>
      <c r="P26" s="51"/>
      <c r="Q26" s="51"/>
      <c r="R26" s="55"/>
      <c r="S26" s="56"/>
      <c r="T26" s="56"/>
      <c r="U26" s="56"/>
      <c r="V26" s="19"/>
      <c r="W26" s="51"/>
      <c r="X26" s="57" t="str">
        <f t="shared" si="0"/>
        <v/>
      </c>
      <c r="Y26" s="57" t="str">
        <f t="shared" si="1"/>
        <v/>
      </c>
      <c r="Z26" s="57" t="str">
        <f t="shared" si="2"/>
        <v/>
      </c>
      <c r="AA26" s="58" t="str">
        <f t="shared" si="3"/>
        <v/>
      </c>
      <c r="AB26" s="58" t="str">
        <f t="shared" si="4"/>
        <v/>
      </c>
      <c r="AC26" s="57" t="str">
        <f t="shared" si="5"/>
        <v/>
      </c>
      <c r="AD26" s="59" t="str">
        <f t="shared" si="6"/>
        <v/>
      </c>
      <c r="AE26" s="54" t="str">
        <f>IF($B26="","",IF(NOT(ISNUMBER($AA26)),"Aguardando fechamento",IF($P26&gt;0,"ACAO: "&amp;TEXT($P26,"0")&amp;" carga(s) terceirizada(s) de forma evitavel",IF(IF(ISNUMBER($Z26),$Z26,0)&gt;IFERROR(INDEX(Parâmetros!$G$5:$G$10,MATCH($C26,Parâmetros!$B$5:$B$10,0)),""),"ALERTA: terceiros acima da meta",IF($AA26&gt;IFERROR(INDEX(Parâmetros!$D$5:$D$10,MATCH($C26,Parâmetros!$B$5:$B$10,0)),""),"ALERTA: custo/km acima da meta","OK - dentro das metas")))))</f>
        <v/>
      </c>
    </row>
    <row r="27" spans="2:31" ht="15" customHeight="1" x14ac:dyDescent="0.3">
      <c r="B27" s="48"/>
      <c r="C27" s="49"/>
      <c r="D27" s="50"/>
      <c r="E27" s="51"/>
      <c r="F27" s="52"/>
      <c r="G27" s="51"/>
      <c r="H27" s="51"/>
      <c r="I27" s="53" t="str">
        <f>IF($B27="","",IFERROR($G27*IFERROR(INDEX(Parâmetros!$C$5:$C$10,MATCH($C27,Parâmetros!$B$5:$B$10,0)),"")/Parâmetros!$C$13,""))</f>
        <v/>
      </c>
      <c r="J27" s="53" t="str">
        <f>IF($B27="","",IFERROR($E27*IFERROR(INDEX(Parâmetros!$E$5:$E$10,MATCH($C27,Parâmetros!$B$5:$B$10,0)),"")-$I27,""))</f>
        <v/>
      </c>
      <c r="K27" s="54" t="str">
        <f>IF($B27="","",IF(NOT(ISNUMBER($J27)),"",IF($J27&lt;=0,"OK - frota cobre a meta do dia",IF($J27&lt;=Parâmetros!$C$15,"ATENCAO - faltam "&amp;TEXT($J27,"0")&amp;" viagem(ns) de frota","CRITICO - faltam "&amp;TEXT($J27,"0")&amp;" viagens: acionar plano"))))</f>
        <v/>
      </c>
      <c r="L27" s="51"/>
      <c r="M27" s="51"/>
      <c r="N27" s="51"/>
      <c r="O27" s="50"/>
      <c r="P27" s="51"/>
      <c r="Q27" s="51"/>
      <c r="R27" s="55"/>
      <c r="S27" s="56"/>
      <c r="T27" s="56"/>
      <c r="U27" s="56"/>
      <c r="V27" s="19"/>
      <c r="W27" s="51"/>
      <c r="X27" s="57" t="str">
        <f t="shared" si="0"/>
        <v/>
      </c>
      <c r="Y27" s="57" t="str">
        <f t="shared" si="1"/>
        <v/>
      </c>
      <c r="Z27" s="57" t="str">
        <f t="shared" si="2"/>
        <v/>
      </c>
      <c r="AA27" s="58" t="str">
        <f t="shared" si="3"/>
        <v/>
      </c>
      <c r="AB27" s="58" t="str">
        <f t="shared" si="4"/>
        <v/>
      </c>
      <c r="AC27" s="57" t="str">
        <f t="shared" si="5"/>
        <v/>
      </c>
      <c r="AD27" s="59" t="str">
        <f t="shared" si="6"/>
        <v/>
      </c>
      <c r="AE27" s="54" t="str">
        <f>IF($B27="","",IF(NOT(ISNUMBER($AA27)),"Aguardando fechamento",IF($P27&gt;0,"ACAO: "&amp;TEXT($P27,"0")&amp;" carga(s) terceirizada(s) de forma evitavel",IF(IF(ISNUMBER($Z27),$Z27,0)&gt;IFERROR(INDEX(Parâmetros!$G$5:$G$10,MATCH($C27,Parâmetros!$B$5:$B$10,0)),""),"ALERTA: terceiros acima da meta",IF($AA27&gt;IFERROR(INDEX(Parâmetros!$D$5:$D$10,MATCH($C27,Parâmetros!$B$5:$B$10,0)),""),"ALERTA: custo/km acima da meta","OK - dentro das metas")))))</f>
        <v/>
      </c>
    </row>
    <row r="28" spans="2:31" ht="15" customHeight="1" x14ac:dyDescent="0.3">
      <c r="B28" s="48"/>
      <c r="C28" s="49"/>
      <c r="D28" s="50"/>
      <c r="E28" s="51"/>
      <c r="F28" s="52"/>
      <c r="G28" s="51"/>
      <c r="H28" s="51"/>
      <c r="I28" s="53" t="str">
        <f>IF($B28="","",IFERROR($G28*IFERROR(INDEX(Parâmetros!$C$5:$C$10,MATCH($C28,Parâmetros!$B$5:$B$10,0)),"")/Parâmetros!$C$13,""))</f>
        <v/>
      </c>
      <c r="J28" s="53" t="str">
        <f>IF($B28="","",IFERROR($E28*IFERROR(INDEX(Parâmetros!$E$5:$E$10,MATCH($C28,Parâmetros!$B$5:$B$10,0)),"")-$I28,""))</f>
        <v/>
      </c>
      <c r="K28" s="54" t="str">
        <f>IF($B28="","",IF(NOT(ISNUMBER($J28)),"",IF($J28&lt;=0,"OK - frota cobre a meta do dia",IF($J28&lt;=Parâmetros!$C$15,"ATENCAO - faltam "&amp;TEXT($J28,"0")&amp;" viagem(ns) de frota","CRITICO - faltam "&amp;TEXT($J28,"0")&amp;" viagens: acionar plano"))))</f>
        <v/>
      </c>
      <c r="L28" s="51"/>
      <c r="M28" s="51"/>
      <c r="N28" s="51"/>
      <c r="O28" s="50"/>
      <c r="P28" s="51"/>
      <c r="Q28" s="51"/>
      <c r="R28" s="55"/>
      <c r="S28" s="56"/>
      <c r="T28" s="56"/>
      <c r="U28" s="56"/>
      <c r="V28" s="19"/>
      <c r="W28" s="51"/>
      <c r="X28" s="57" t="str">
        <f t="shared" si="0"/>
        <v/>
      </c>
      <c r="Y28" s="57" t="str">
        <f t="shared" si="1"/>
        <v/>
      </c>
      <c r="Z28" s="57" t="str">
        <f t="shared" si="2"/>
        <v/>
      </c>
      <c r="AA28" s="58" t="str">
        <f t="shared" si="3"/>
        <v/>
      </c>
      <c r="AB28" s="58" t="str">
        <f t="shared" si="4"/>
        <v/>
      </c>
      <c r="AC28" s="57" t="str">
        <f t="shared" si="5"/>
        <v/>
      </c>
      <c r="AD28" s="59" t="str">
        <f t="shared" si="6"/>
        <v/>
      </c>
      <c r="AE28" s="54" t="str">
        <f>IF($B28="","",IF(NOT(ISNUMBER($AA28)),"Aguardando fechamento",IF($P28&gt;0,"ACAO: "&amp;TEXT($P28,"0")&amp;" carga(s) terceirizada(s) de forma evitavel",IF(IF(ISNUMBER($Z28),$Z28,0)&gt;IFERROR(INDEX(Parâmetros!$G$5:$G$10,MATCH($C28,Parâmetros!$B$5:$B$10,0)),""),"ALERTA: terceiros acima da meta",IF($AA28&gt;IFERROR(INDEX(Parâmetros!$D$5:$D$10,MATCH($C28,Parâmetros!$B$5:$B$10,0)),""),"ALERTA: custo/km acima da meta","OK - dentro das metas")))))</f>
        <v/>
      </c>
    </row>
    <row r="29" spans="2:31" ht="15" customHeight="1" x14ac:dyDescent="0.3">
      <c r="B29" s="48"/>
      <c r="C29" s="49"/>
      <c r="D29" s="50"/>
      <c r="E29" s="51"/>
      <c r="F29" s="52"/>
      <c r="G29" s="51"/>
      <c r="H29" s="51"/>
      <c r="I29" s="53" t="str">
        <f>IF($B29="","",IFERROR($G29*IFERROR(INDEX(Parâmetros!$C$5:$C$10,MATCH($C29,Parâmetros!$B$5:$B$10,0)),"")/Parâmetros!$C$13,""))</f>
        <v/>
      </c>
      <c r="J29" s="53" t="str">
        <f>IF($B29="","",IFERROR($E29*IFERROR(INDEX(Parâmetros!$E$5:$E$10,MATCH($C29,Parâmetros!$B$5:$B$10,0)),"")-$I29,""))</f>
        <v/>
      </c>
      <c r="K29" s="54" t="str">
        <f>IF($B29="","",IF(NOT(ISNUMBER($J29)),"",IF($J29&lt;=0,"OK - frota cobre a meta do dia",IF($J29&lt;=Parâmetros!$C$15,"ATENCAO - faltam "&amp;TEXT($J29,"0")&amp;" viagem(ns) de frota","CRITICO - faltam "&amp;TEXT($J29,"0")&amp;" viagens: acionar plano"))))</f>
        <v/>
      </c>
      <c r="L29" s="51"/>
      <c r="M29" s="51"/>
      <c r="N29" s="51"/>
      <c r="O29" s="50"/>
      <c r="P29" s="51"/>
      <c r="Q29" s="51"/>
      <c r="R29" s="55"/>
      <c r="S29" s="56"/>
      <c r="T29" s="56"/>
      <c r="U29" s="56"/>
      <c r="V29" s="19"/>
      <c r="W29" s="51"/>
      <c r="X29" s="57" t="str">
        <f t="shared" si="0"/>
        <v/>
      </c>
      <c r="Y29" s="57" t="str">
        <f t="shared" si="1"/>
        <v/>
      </c>
      <c r="Z29" s="57" t="str">
        <f t="shared" si="2"/>
        <v/>
      </c>
      <c r="AA29" s="58" t="str">
        <f t="shared" si="3"/>
        <v/>
      </c>
      <c r="AB29" s="58" t="str">
        <f t="shared" si="4"/>
        <v/>
      </c>
      <c r="AC29" s="57" t="str">
        <f t="shared" si="5"/>
        <v/>
      </c>
      <c r="AD29" s="59" t="str">
        <f t="shared" si="6"/>
        <v/>
      </c>
      <c r="AE29" s="54" t="str">
        <f>IF($B29="","",IF(NOT(ISNUMBER($AA29)),"Aguardando fechamento",IF($P29&gt;0,"ACAO: "&amp;TEXT($P29,"0")&amp;" carga(s) terceirizada(s) de forma evitavel",IF(IF(ISNUMBER($Z29),$Z29,0)&gt;IFERROR(INDEX(Parâmetros!$G$5:$G$10,MATCH($C29,Parâmetros!$B$5:$B$10,0)),""),"ALERTA: terceiros acima da meta",IF($AA29&gt;IFERROR(INDEX(Parâmetros!$D$5:$D$10,MATCH($C29,Parâmetros!$B$5:$B$10,0)),""),"ALERTA: custo/km acima da meta","OK - dentro das metas")))))</f>
        <v/>
      </c>
    </row>
    <row r="30" spans="2:31" ht="15" customHeight="1" x14ac:dyDescent="0.3">
      <c r="B30" s="48"/>
      <c r="C30" s="49"/>
      <c r="D30" s="50"/>
      <c r="E30" s="51"/>
      <c r="F30" s="52"/>
      <c r="G30" s="51"/>
      <c r="H30" s="51"/>
      <c r="I30" s="53" t="str">
        <f>IF($B30="","",IFERROR($G30*IFERROR(INDEX(Parâmetros!$C$5:$C$10,MATCH($C30,Parâmetros!$B$5:$B$10,0)),"")/Parâmetros!$C$13,""))</f>
        <v/>
      </c>
      <c r="J30" s="53" t="str">
        <f>IF($B30="","",IFERROR($E30*IFERROR(INDEX(Parâmetros!$E$5:$E$10,MATCH($C30,Parâmetros!$B$5:$B$10,0)),"")-$I30,""))</f>
        <v/>
      </c>
      <c r="K30" s="54" t="str">
        <f>IF($B30="","",IF(NOT(ISNUMBER($J30)),"",IF($J30&lt;=0,"OK - frota cobre a meta do dia",IF($J30&lt;=Parâmetros!$C$15,"ATENCAO - faltam "&amp;TEXT($J30,"0")&amp;" viagem(ns) de frota","CRITICO - faltam "&amp;TEXT($J30,"0")&amp;" viagens: acionar plano"))))</f>
        <v/>
      </c>
      <c r="L30" s="51"/>
      <c r="M30" s="51"/>
      <c r="N30" s="51"/>
      <c r="O30" s="50"/>
      <c r="P30" s="51"/>
      <c r="Q30" s="51"/>
      <c r="R30" s="55"/>
      <c r="S30" s="56"/>
      <c r="T30" s="56"/>
      <c r="U30" s="56"/>
      <c r="V30" s="19"/>
      <c r="W30" s="51"/>
      <c r="X30" s="57" t="str">
        <f t="shared" si="0"/>
        <v/>
      </c>
      <c r="Y30" s="57" t="str">
        <f t="shared" si="1"/>
        <v/>
      </c>
      <c r="Z30" s="57" t="str">
        <f t="shared" si="2"/>
        <v/>
      </c>
      <c r="AA30" s="58" t="str">
        <f t="shared" si="3"/>
        <v/>
      </c>
      <c r="AB30" s="58" t="str">
        <f t="shared" si="4"/>
        <v/>
      </c>
      <c r="AC30" s="57" t="str">
        <f t="shared" si="5"/>
        <v/>
      </c>
      <c r="AD30" s="59" t="str">
        <f t="shared" si="6"/>
        <v/>
      </c>
      <c r="AE30" s="54" t="str">
        <f>IF($B30="","",IF(NOT(ISNUMBER($AA30)),"Aguardando fechamento",IF($P30&gt;0,"ACAO: "&amp;TEXT($P30,"0")&amp;" carga(s) terceirizada(s) de forma evitavel",IF(IF(ISNUMBER($Z30),$Z30,0)&gt;IFERROR(INDEX(Parâmetros!$G$5:$G$10,MATCH($C30,Parâmetros!$B$5:$B$10,0)),""),"ALERTA: terceiros acima da meta",IF($AA30&gt;IFERROR(INDEX(Parâmetros!$D$5:$D$10,MATCH($C30,Parâmetros!$B$5:$B$10,0)),""),"ALERTA: custo/km acima da meta","OK - dentro das metas")))))</f>
        <v/>
      </c>
    </row>
    <row r="31" spans="2:31" ht="15" customHeight="1" x14ac:dyDescent="0.3">
      <c r="B31" s="48"/>
      <c r="C31" s="49"/>
      <c r="D31" s="50"/>
      <c r="E31" s="51"/>
      <c r="F31" s="52"/>
      <c r="G31" s="51"/>
      <c r="H31" s="51"/>
      <c r="I31" s="53" t="str">
        <f>IF($B31="","",IFERROR($G31*IFERROR(INDEX(Parâmetros!$C$5:$C$10,MATCH($C31,Parâmetros!$B$5:$B$10,0)),"")/Parâmetros!$C$13,""))</f>
        <v/>
      </c>
      <c r="J31" s="53" t="str">
        <f>IF($B31="","",IFERROR($E31*IFERROR(INDEX(Parâmetros!$E$5:$E$10,MATCH($C31,Parâmetros!$B$5:$B$10,0)),"")-$I31,""))</f>
        <v/>
      </c>
      <c r="K31" s="54" t="str">
        <f>IF($B31="","",IF(NOT(ISNUMBER($J31)),"",IF($J31&lt;=0,"OK - frota cobre a meta do dia",IF($J31&lt;=Parâmetros!$C$15,"ATENCAO - faltam "&amp;TEXT($J31,"0")&amp;" viagem(ns) de frota","CRITICO - faltam "&amp;TEXT($J31,"0")&amp;" viagens: acionar plano"))))</f>
        <v/>
      </c>
      <c r="L31" s="51"/>
      <c r="M31" s="51"/>
      <c r="N31" s="51"/>
      <c r="O31" s="50"/>
      <c r="P31" s="51"/>
      <c r="Q31" s="51"/>
      <c r="R31" s="55"/>
      <c r="S31" s="56"/>
      <c r="T31" s="56"/>
      <c r="U31" s="56"/>
      <c r="V31" s="19"/>
      <c r="W31" s="51"/>
      <c r="X31" s="57" t="str">
        <f t="shared" si="0"/>
        <v/>
      </c>
      <c r="Y31" s="57" t="str">
        <f t="shared" si="1"/>
        <v/>
      </c>
      <c r="Z31" s="57" t="str">
        <f t="shared" si="2"/>
        <v/>
      </c>
      <c r="AA31" s="58" t="str">
        <f t="shared" si="3"/>
        <v/>
      </c>
      <c r="AB31" s="58" t="str">
        <f t="shared" si="4"/>
        <v/>
      </c>
      <c r="AC31" s="57" t="str">
        <f t="shared" si="5"/>
        <v/>
      </c>
      <c r="AD31" s="59" t="str">
        <f t="shared" si="6"/>
        <v/>
      </c>
      <c r="AE31" s="54" t="str">
        <f>IF($B31="","",IF(NOT(ISNUMBER($AA31)),"Aguardando fechamento",IF($P31&gt;0,"ACAO: "&amp;TEXT($P31,"0")&amp;" carga(s) terceirizada(s) de forma evitavel",IF(IF(ISNUMBER($Z31),$Z31,0)&gt;IFERROR(INDEX(Parâmetros!$G$5:$G$10,MATCH($C31,Parâmetros!$B$5:$B$10,0)),""),"ALERTA: terceiros acima da meta",IF($AA31&gt;IFERROR(INDEX(Parâmetros!$D$5:$D$10,MATCH($C31,Parâmetros!$B$5:$B$10,0)),""),"ALERTA: custo/km acima da meta","OK - dentro das metas")))))</f>
        <v/>
      </c>
    </row>
    <row r="32" spans="2:31" ht="15" customHeight="1" x14ac:dyDescent="0.3">
      <c r="B32" s="48"/>
      <c r="C32" s="49"/>
      <c r="D32" s="50"/>
      <c r="E32" s="51"/>
      <c r="F32" s="52"/>
      <c r="G32" s="51"/>
      <c r="H32" s="51"/>
      <c r="I32" s="53" t="str">
        <f>IF($B32="","",IFERROR($G32*IFERROR(INDEX(Parâmetros!$C$5:$C$10,MATCH($C32,Parâmetros!$B$5:$B$10,0)),"")/Parâmetros!$C$13,""))</f>
        <v/>
      </c>
      <c r="J32" s="53" t="str">
        <f>IF($B32="","",IFERROR($E32*IFERROR(INDEX(Parâmetros!$E$5:$E$10,MATCH($C32,Parâmetros!$B$5:$B$10,0)),"")-$I32,""))</f>
        <v/>
      </c>
      <c r="K32" s="54" t="str">
        <f>IF($B32="","",IF(NOT(ISNUMBER($J32)),"",IF($J32&lt;=0,"OK - frota cobre a meta do dia",IF($J32&lt;=Parâmetros!$C$15,"ATENCAO - faltam "&amp;TEXT($J32,"0")&amp;" viagem(ns) de frota","CRITICO - faltam "&amp;TEXT($J32,"0")&amp;" viagens: acionar plano"))))</f>
        <v/>
      </c>
      <c r="L32" s="51"/>
      <c r="M32" s="51"/>
      <c r="N32" s="51"/>
      <c r="O32" s="50"/>
      <c r="P32" s="51"/>
      <c r="Q32" s="51"/>
      <c r="R32" s="55"/>
      <c r="S32" s="56"/>
      <c r="T32" s="56"/>
      <c r="U32" s="56"/>
      <c r="V32" s="19"/>
      <c r="W32" s="51"/>
      <c r="X32" s="57" t="str">
        <f t="shared" si="0"/>
        <v/>
      </c>
      <c r="Y32" s="57" t="str">
        <f t="shared" si="1"/>
        <v/>
      </c>
      <c r="Z32" s="57" t="str">
        <f t="shared" si="2"/>
        <v/>
      </c>
      <c r="AA32" s="58" t="str">
        <f t="shared" si="3"/>
        <v/>
      </c>
      <c r="AB32" s="58" t="str">
        <f t="shared" si="4"/>
        <v/>
      </c>
      <c r="AC32" s="57" t="str">
        <f t="shared" si="5"/>
        <v/>
      </c>
      <c r="AD32" s="59" t="str">
        <f t="shared" si="6"/>
        <v/>
      </c>
      <c r="AE32" s="54" t="str">
        <f>IF($B32="","",IF(NOT(ISNUMBER($AA32)),"Aguardando fechamento",IF($P32&gt;0,"ACAO: "&amp;TEXT($P32,"0")&amp;" carga(s) terceirizada(s) de forma evitavel",IF(IF(ISNUMBER($Z32),$Z32,0)&gt;IFERROR(INDEX(Parâmetros!$G$5:$G$10,MATCH($C32,Parâmetros!$B$5:$B$10,0)),""),"ALERTA: terceiros acima da meta",IF($AA32&gt;IFERROR(INDEX(Parâmetros!$D$5:$D$10,MATCH($C32,Parâmetros!$B$5:$B$10,0)),""),"ALERTA: custo/km acima da meta","OK - dentro das metas")))))</f>
        <v/>
      </c>
    </row>
    <row r="33" spans="2:31" ht="15" customHeight="1" x14ac:dyDescent="0.3">
      <c r="B33" s="48"/>
      <c r="C33" s="49"/>
      <c r="D33" s="50"/>
      <c r="E33" s="51"/>
      <c r="F33" s="52"/>
      <c r="G33" s="51"/>
      <c r="H33" s="51"/>
      <c r="I33" s="53" t="str">
        <f>IF($B33="","",IFERROR($G33*IFERROR(INDEX(Parâmetros!$C$5:$C$10,MATCH($C33,Parâmetros!$B$5:$B$10,0)),"")/Parâmetros!$C$13,""))</f>
        <v/>
      </c>
      <c r="J33" s="53" t="str">
        <f>IF($B33="","",IFERROR($E33*IFERROR(INDEX(Parâmetros!$E$5:$E$10,MATCH($C33,Parâmetros!$B$5:$B$10,0)),"")-$I33,""))</f>
        <v/>
      </c>
      <c r="K33" s="54" t="str">
        <f>IF($B33="","",IF(NOT(ISNUMBER($J33)),"",IF($J33&lt;=0,"OK - frota cobre a meta do dia",IF($J33&lt;=Parâmetros!$C$15,"ATENCAO - faltam "&amp;TEXT($J33,"0")&amp;" viagem(ns) de frota","CRITICO - faltam "&amp;TEXT($J33,"0")&amp;" viagens: acionar plano"))))</f>
        <v/>
      </c>
      <c r="L33" s="51"/>
      <c r="M33" s="51"/>
      <c r="N33" s="51"/>
      <c r="O33" s="50"/>
      <c r="P33" s="51"/>
      <c r="Q33" s="51"/>
      <c r="R33" s="55"/>
      <c r="S33" s="56"/>
      <c r="T33" s="56"/>
      <c r="U33" s="56"/>
      <c r="V33" s="19"/>
      <c r="W33" s="51"/>
      <c r="X33" s="57" t="str">
        <f t="shared" si="0"/>
        <v/>
      </c>
      <c r="Y33" s="57" t="str">
        <f t="shared" si="1"/>
        <v/>
      </c>
      <c r="Z33" s="57" t="str">
        <f t="shared" si="2"/>
        <v/>
      </c>
      <c r="AA33" s="58" t="str">
        <f t="shared" si="3"/>
        <v/>
      </c>
      <c r="AB33" s="58" t="str">
        <f t="shared" si="4"/>
        <v/>
      </c>
      <c r="AC33" s="57" t="str">
        <f t="shared" si="5"/>
        <v/>
      </c>
      <c r="AD33" s="59" t="str">
        <f t="shared" si="6"/>
        <v/>
      </c>
      <c r="AE33" s="54" t="str">
        <f>IF($B33="","",IF(NOT(ISNUMBER($AA33)),"Aguardando fechamento",IF($P33&gt;0,"ACAO: "&amp;TEXT($P33,"0")&amp;" carga(s) terceirizada(s) de forma evitavel",IF(IF(ISNUMBER($Z33),$Z33,0)&gt;IFERROR(INDEX(Parâmetros!$G$5:$G$10,MATCH($C33,Parâmetros!$B$5:$B$10,0)),""),"ALERTA: terceiros acima da meta",IF($AA33&gt;IFERROR(INDEX(Parâmetros!$D$5:$D$10,MATCH($C33,Parâmetros!$B$5:$B$10,0)),""),"ALERTA: custo/km acima da meta","OK - dentro das metas")))))</f>
        <v/>
      </c>
    </row>
    <row r="34" spans="2:31" ht="15" customHeight="1" x14ac:dyDescent="0.3">
      <c r="B34" s="48"/>
      <c r="C34" s="49"/>
      <c r="D34" s="50"/>
      <c r="E34" s="51"/>
      <c r="F34" s="52"/>
      <c r="G34" s="51"/>
      <c r="H34" s="51"/>
      <c r="I34" s="53" t="str">
        <f>IF($B34="","",IFERROR($G34*IFERROR(INDEX(Parâmetros!$C$5:$C$10,MATCH($C34,Parâmetros!$B$5:$B$10,0)),"")/Parâmetros!$C$13,""))</f>
        <v/>
      </c>
      <c r="J34" s="53" t="str">
        <f>IF($B34="","",IFERROR($E34*IFERROR(INDEX(Parâmetros!$E$5:$E$10,MATCH($C34,Parâmetros!$B$5:$B$10,0)),"")-$I34,""))</f>
        <v/>
      </c>
      <c r="K34" s="54" t="str">
        <f>IF($B34="","",IF(NOT(ISNUMBER($J34)),"",IF($J34&lt;=0,"OK - frota cobre a meta do dia",IF($J34&lt;=Parâmetros!$C$15,"ATENCAO - faltam "&amp;TEXT($J34,"0")&amp;" viagem(ns) de frota","CRITICO - faltam "&amp;TEXT($J34,"0")&amp;" viagens: acionar plano"))))</f>
        <v/>
      </c>
      <c r="L34" s="51"/>
      <c r="M34" s="51"/>
      <c r="N34" s="51"/>
      <c r="O34" s="50"/>
      <c r="P34" s="51"/>
      <c r="Q34" s="51"/>
      <c r="R34" s="55"/>
      <c r="S34" s="56"/>
      <c r="T34" s="56"/>
      <c r="U34" s="56"/>
      <c r="V34" s="19"/>
      <c r="W34" s="51"/>
      <c r="X34" s="57" t="str">
        <f t="shared" si="0"/>
        <v/>
      </c>
      <c r="Y34" s="57" t="str">
        <f t="shared" si="1"/>
        <v/>
      </c>
      <c r="Z34" s="57" t="str">
        <f t="shared" si="2"/>
        <v/>
      </c>
      <c r="AA34" s="58" t="str">
        <f t="shared" si="3"/>
        <v/>
      </c>
      <c r="AB34" s="58" t="str">
        <f t="shared" si="4"/>
        <v/>
      </c>
      <c r="AC34" s="57" t="str">
        <f t="shared" si="5"/>
        <v/>
      </c>
      <c r="AD34" s="59" t="str">
        <f t="shared" si="6"/>
        <v/>
      </c>
      <c r="AE34" s="54" t="str">
        <f>IF($B34="","",IF(NOT(ISNUMBER($AA34)),"Aguardando fechamento",IF($P34&gt;0,"ACAO: "&amp;TEXT($P34,"0")&amp;" carga(s) terceirizada(s) de forma evitavel",IF(IF(ISNUMBER($Z34),$Z34,0)&gt;IFERROR(INDEX(Parâmetros!$G$5:$G$10,MATCH($C34,Parâmetros!$B$5:$B$10,0)),""),"ALERTA: terceiros acima da meta",IF($AA34&gt;IFERROR(INDEX(Parâmetros!$D$5:$D$10,MATCH($C34,Parâmetros!$B$5:$B$10,0)),""),"ALERTA: custo/km acima da meta","OK - dentro das metas")))))</f>
        <v/>
      </c>
    </row>
    <row r="35" spans="2:31" ht="15" customHeight="1" x14ac:dyDescent="0.3">
      <c r="B35" s="48"/>
      <c r="C35" s="49"/>
      <c r="D35" s="50"/>
      <c r="E35" s="51"/>
      <c r="F35" s="52"/>
      <c r="G35" s="51"/>
      <c r="H35" s="51"/>
      <c r="I35" s="53" t="str">
        <f>IF($B35="","",IFERROR($G35*IFERROR(INDEX(Parâmetros!$C$5:$C$10,MATCH($C35,Parâmetros!$B$5:$B$10,0)),"")/Parâmetros!$C$13,""))</f>
        <v/>
      </c>
      <c r="J35" s="53" t="str">
        <f>IF($B35="","",IFERROR($E35*IFERROR(INDEX(Parâmetros!$E$5:$E$10,MATCH($C35,Parâmetros!$B$5:$B$10,0)),"")-$I35,""))</f>
        <v/>
      </c>
      <c r="K35" s="54" t="str">
        <f>IF($B35="","",IF(NOT(ISNUMBER($J35)),"",IF($J35&lt;=0,"OK - frota cobre a meta do dia",IF($J35&lt;=Parâmetros!$C$15,"ATENCAO - faltam "&amp;TEXT($J35,"0")&amp;" viagem(ns) de frota","CRITICO - faltam "&amp;TEXT($J35,"0")&amp;" viagens: acionar plano"))))</f>
        <v/>
      </c>
      <c r="L35" s="51"/>
      <c r="M35" s="51"/>
      <c r="N35" s="51"/>
      <c r="O35" s="50"/>
      <c r="P35" s="51"/>
      <c r="Q35" s="51"/>
      <c r="R35" s="55"/>
      <c r="S35" s="56"/>
      <c r="T35" s="56"/>
      <c r="U35" s="56"/>
      <c r="V35" s="19"/>
      <c r="W35" s="51"/>
      <c r="X35" s="57" t="str">
        <f t="shared" si="0"/>
        <v/>
      </c>
      <c r="Y35" s="57" t="str">
        <f t="shared" si="1"/>
        <v/>
      </c>
      <c r="Z35" s="57" t="str">
        <f t="shared" si="2"/>
        <v/>
      </c>
      <c r="AA35" s="58" t="str">
        <f t="shared" si="3"/>
        <v/>
      </c>
      <c r="AB35" s="58" t="str">
        <f t="shared" si="4"/>
        <v/>
      </c>
      <c r="AC35" s="57" t="str">
        <f t="shared" si="5"/>
        <v/>
      </c>
      <c r="AD35" s="59" t="str">
        <f t="shared" si="6"/>
        <v/>
      </c>
      <c r="AE35" s="54" t="str">
        <f>IF($B35="","",IF(NOT(ISNUMBER($AA35)),"Aguardando fechamento",IF($P35&gt;0,"ACAO: "&amp;TEXT($P35,"0")&amp;" carga(s) terceirizada(s) de forma evitavel",IF(IF(ISNUMBER($Z35),$Z35,0)&gt;IFERROR(INDEX(Parâmetros!$G$5:$G$10,MATCH($C35,Parâmetros!$B$5:$B$10,0)),""),"ALERTA: terceiros acima da meta",IF($AA35&gt;IFERROR(INDEX(Parâmetros!$D$5:$D$10,MATCH($C35,Parâmetros!$B$5:$B$10,0)),""),"ALERTA: custo/km acima da meta","OK - dentro das metas")))))</f>
        <v/>
      </c>
    </row>
    <row r="36" spans="2:31" ht="15" customHeight="1" x14ac:dyDescent="0.3">
      <c r="B36" s="48"/>
      <c r="C36" s="49"/>
      <c r="D36" s="50"/>
      <c r="E36" s="51"/>
      <c r="F36" s="52"/>
      <c r="G36" s="51"/>
      <c r="H36" s="51"/>
      <c r="I36" s="53" t="str">
        <f>IF($B36="","",IFERROR($G36*IFERROR(INDEX(Parâmetros!$C$5:$C$10,MATCH($C36,Parâmetros!$B$5:$B$10,0)),"")/Parâmetros!$C$13,""))</f>
        <v/>
      </c>
      <c r="J36" s="53" t="str">
        <f>IF($B36="","",IFERROR($E36*IFERROR(INDEX(Parâmetros!$E$5:$E$10,MATCH($C36,Parâmetros!$B$5:$B$10,0)),"")-$I36,""))</f>
        <v/>
      </c>
      <c r="K36" s="54" t="str">
        <f>IF($B36="","",IF(NOT(ISNUMBER($J36)),"",IF($J36&lt;=0,"OK - frota cobre a meta do dia",IF($J36&lt;=Parâmetros!$C$15,"ATENCAO - faltam "&amp;TEXT($J36,"0")&amp;" viagem(ns) de frota","CRITICO - faltam "&amp;TEXT($J36,"0")&amp;" viagens: acionar plano"))))</f>
        <v/>
      </c>
      <c r="L36" s="51"/>
      <c r="M36" s="51"/>
      <c r="N36" s="51"/>
      <c r="O36" s="50"/>
      <c r="P36" s="51"/>
      <c r="Q36" s="51"/>
      <c r="R36" s="55"/>
      <c r="S36" s="56"/>
      <c r="T36" s="56"/>
      <c r="U36" s="56"/>
      <c r="V36" s="19"/>
      <c r="W36" s="51"/>
      <c r="X36" s="57" t="str">
        <f t="shared" si="0"/>
        <v/>
      </c>
      <c r="Y36" s="57" t="str">
        <f t="shared" si="1"/>
        <v/>
      </c>
      <c r="Z36" s="57" t="str">
        <f t="shared" si="2"/>
        <v/>
      </c>
      <c r="AA36" s="58" t="str">
        <f t="shared" si="3"/>
        <v/>
      </c>
      <c r="AB36" s="58" t="str">
        <f t="shared" si="4"/>
        <v/>
      </c>
      <c r="AC36" s="57" t="str">
        <f t="shared" si="5"/>
        <v/>
      </c>
      <c r="AD36" s="59" t="str">
        <f t="shared" si="6"/>
        <v/>
      </c>
      <c r="AE36" s="54" t="str">
        <f>IF($B36="","",IF(NOT(ISNUMBER($AA36)),"Aguardando fechamento",IF($P36&gt;0,"ACAO: "&amp;TEXT($P36,"0")&amp;" carga(s) terceirizada(s) de forma evitavel",IF(IF(ISNUMBER($Z36),$Z36,0)&gt;IFERROR(INDEX(Parâmetros!$G$5:$G$10,MATCH($C36,Parâmetros!$B$5:$B$10,0)),""),"ALERTA: terceiros acima da meta",IF($AA36&gt;IFERROR(INDEX(Parâmetros!$D$5:$D$10,MATCH($C36,Parâmetros!$B$5:$B$10,0)),""),"ALERTA: custo/km acima da meta","OK - dentro das metas")))))</f>
        <v/>
      </c>
    </row>
    <row r="37" spans="2:31" ht="15" customHeight="1" x14ac:dyDescent="0.3">
      <c r="B37" s="48"/>
      <c r="C37" s="49"/>
      <c r="D37" s="50"/>
      <c r="E37" s="51"/>
      <c r="F37" s="52"/>
      <c r="G37" s="51"/>
      <c r="H37" s="51"/>
      <c r="I37" s="53" t="str">
        <f>IF($B37="","",IFERROR($G37*IFERROR(INDEX(Parâmetros!$C$5:$C$10,MATCH($C37,Parâmetros!$B$5:$B$10,0)),"")/Parâmetros!$C$13,""))</f>
        <v/>
      </c>
      <c r="J37" s="53" t="str">
        <f>IF($B37="","",IFERROR($E37*IFERROR(INDEX(Parâmetros!$E$5:$E$10,MATCH($C37,Parâmetros!$B$5:$B$10,0)),"")-$I37,""))</f>
        <v/>
      </c>
      <c r="K37" s="54" t="str">
        <f>IF($B37="","",IF(NOT(ISNUMBER($J37)),"",IF($J37&lt;=0,"OK - frota cobre a meta do dia",IF($J37&lt;=Parâmetros!$C$15,"ATENCAO - faltam "&amp;TEXT($J37,"0")&amp;" viagem(ns) de frota","CRITICO - faltam "&amp;TEXT($J37,"0")&amp;" viagens: acionar plano"))))</f>
        <v/>
      </c>
      <c r="L37" s="51"/>
      <c r="M37" s="51"/>
      <c r="N37" s="51"/>
      <c r="O37" s="50"/>
      <c r="P37" s="51"/>
      <c r="Q37" s="51"/>
      <c r="R37" s="55"/>
      <c r="S37" s="56"/>
      <c r="T37" s="56"/>
      <c r="U37" s="56"/>
      <c r="V37" s="19"/>
      <c r="W37" s="51"/>
      <c r="X37" s="57" t="str">
        <f t="shared" si="0"/>
        <v/>
      </c>
      <c r="Y37" s="57" t="str">
        <f t="shared" si="1"/>
        <v/>
      </c>
      <c r="Z37" s="57" t="str">
        <f t="shared" si="2"/>
        <v/>
      </c>
      <c r="AA37" s="58" t="str">
        <f t="shared" si="3"/>
        <v/>
      </c>
      <c r="AB37" s="58" t="str">
        <f t="shared" si="4"/>
        <v/>
      </c>
      <c r="AC37" s="57" t="str">
        <f t="shared" si="5"/>
        <v/>
      </c>
      <c r="AD37" s="59" t="str">
        <f t="shared" si="6"/>
        <v/>
      </c>
      <c r="AE37" s="54" t="str">
        <f>IF($B37="","",IF(NOT(ISNUMBER($AA37)),"Aguardando fechamento",IF($P37&gt;0,"ACAO: "&amp;TEXT($P37,"0")&amp;" carga(s) terceirizada(s) de forma evitavel",IF(IF(ISNUMBER($Z37),$Z37,0)&gt;IFERROR(INDEX(Parâmetros!$G$5:$G$10,MATCH($C37,Parâmetros!$B$5:$B$10,0)),""),"ALERTA: terceiros acima da meta",IF($AA37&gt;IFERROR(INDEX(Parâmetros!$D$5:$D$10,MATCH($C37,Parâmetros!$B$5:$B$10,0)),""),"ALERTA: custo/km acima da meta","OK - dentro das metas")))))</f>
        <v/>
      </c>
    </row>
    <row r="38" spans="2:31" ht="15" customHeight="1" x14ac:dyDescent="0.3">
      <c r="B38" s="48"/>
      <c r="C38" s="49"/>
      <c r="D38" s="50"/>
      <c r="E38" s="51"/>
      <c r="F38" s="52"/>
      <c r="G38" s="51"/>
      <c r="H38" s="51"/>
      <c r="I38" s="53" t="str">
        <f>IF($B38="","",IFERROR($G38*IFERROR(INDEX(Parâmetros!$C$5:$C$10,MATCH($C38,Parâmetros!$B$5:$B$10,0)),"")/Parâmetros!$C$13,""))</f>
        <v/>
      </c>
      <c r="J38" s="53" t="str">
        <f>IF($B38="","",IFERROR($E38*IFERROR(INDEX(Parâmetros!$E$5:$E$10,MATCH($C38,Parâmetros!$B$5:$B$10,0)),"")-$I38,""))</f>
        <v/>
      </c>
      <c r="K38" s="54" t="str">
        <f>IF($B38="","",IF(NOT(ISNUMBER($J38)),"",IF($J38&lt;=0,"OK - frota cobre a meta do dia",IF($J38&lt;=Parâmetros!$C$15,"ATENCAO - faltam "&amp;TEXT($J38,"0")&amp;" viagem(ns) de frota","CRITICO - faltam "&amp;TEXT($J38,"0")&amp;" viagens: acionar plano"))))</f>
        <v/>
      </c>
      <c r="L38" s="51"/>
      <c r="M38" s="51"/>
      <c r="N38" s="51"/>
      <c r="O38" s="50"/>
      <c r="P38" s="51"/>
      <c r="Q38" s="51"/>
      <c r="R38" s="55"/>
      <c r="S38" s="56"/>
      <c r="T38" s="56"/>
      <c r="U38" s="56"/>
      <c r="V38" s="19"/>
      <c r="W38" s="51"/>
      <c r="X38" s="57" t="str">
        <f t="shared" si="0"/>
        <v/>
      </c>
      <c r="Y38" s="57" t="str">
        <f t="shared" si="1"/>
        <v/>
      </c>
      <c r="Z38" s="57" t="str">
        <f t="shared" si="2"/>
        <v/>
      </c>
      <c r="AA38" s="58" t="str">
        <f t="shared" si="3"/>
        <v/>
      </c>
      <c r="AB38" s="58" t="str">
        <f t="shared" si="4"/>
        <v/>
      </c>
      <c r="AC38" s="57" t="str">
        <f t="shared" si="5"/>
        <v/>
      </c>
      <c r="AD38" s="59" t="str">
        <f t="shared" si="6"/>
        <v/>
      </c>
      <c r="AE38" s="54" t="str">
        <f>IF($B38="","",IF(NOT(ISNUMBER($AA38)),"Aguardando fechamento",IF($P38&gt;0,"ACAO: "&amp;TEXT($P38,"0")&amp;" carga(s) terceirizada(s) de forma evitavel",IF(IF(ISNUMBER($Z38),$Z38,0)&gt;IFERROR(INDEX(Parâmetros!$G$5:$G$10,MATCH($C38,Parâmetros!$B$5:$B$10,0)),""),"ALERTA: terceiros acima da meta",IF($AA38&gt;IFERROR(INDEX(Parâmetros!$D$5:$D$10,MATCH($C38,Parâmetros!$B$5:$B$10,0)),""),"ALERTA: custo/km acima da meta","OK - dentro das metas")))))</f>
        <v/>
      </c>
    </row>
    <row r="39" spans="2:31" ht="15" customHeight="1" x14ac:dyDescent="0.3">
      <c r="B39" s="48"/>
      <c r="C39" s="49"/>
      <c r="D39" s="50"/>
      <c r="E39" s="51"/>
      <c r="F39" s="52"/>
      <c r="G39" s="51"/>
      <c r="H39" s="51"/>
      <c r="I39" s="53" t="str">
        <f>IF($B39="","",IFERROR($G39*IFERROR(INDEX(Parâmetros!$C$5:$C$10,MATCH($C39,Parâmetros!$B$5:$B$10,0)),"")/Parâmetros!$C$13,""))</f>
        <v/>
      </c>
      <c r="J39" s="53" t="str">
        <f>IF($B39="","",IFERROR($E39*IFERROR(INDEX(Parâmetros!$E$5:$E$10,MATCH($C39,Parâmetros!$B$5:$B$10,0)),"")-$I39,""))</f>
        <v/>
      </c>
      <c r="K39" s="54" t="str">
        <f>IF($B39="","",IF(NOT(ISNUMBER($J39)),"",IF($J39&lt;=0,"OK - frota cobre a meta do dia",IF($J39&lt;=Parâmetros!$C$15,"ATENCAO - faltam "&amp;TEXT($J39,"0")&amp;" viagem(ns) de frota","CRITICO - faltam "&amp;TEXT($J39,"0")&amp;" viagens: acionar plano"))))</f>
        <v/>
      </c>
      <c r="L39" s="51"/>
      <c r="M39" s="51"/>
      <c r="N39" s="51"/>
      <c r="O39" s="50"/>
      <c r="P39" s="51"/>
      <c r="Q39" s="51"/>
      <c r="R39" s="55"/>
      <c r="S39" s="56"/>
      <c r="T39" s="56"/>
      <c r="U39" s="56"/>
      <c r="V39" s="19"/>
      <c r="W39" s="51"/>
      <c r="X39" s="57" t="str">
        <f t="shared" si="0"/>
        <v/>
      </c>
      <c r="Y39" s="57" t="str">
        <f t="shared" si="1"/>
        <v/>
      </c>
      <c r="Z39" s="57" t="str">
        <f t="shared" si="2"/>
        <v/>
      </c>
      <c r="AA39" s="58" t="str">
        <f t="shared" si="3"/>
        <v/>
      </c>
      <c r="AB39" s="58" t="str">
        <f t="shared" si="4"/>
        <v/>
      </c>
      <c r="AC39" s="57" t="str">
        <f t="shared" si="5"/>
        <v/>
      </c>
      <c r="AD39" s="59" t="str">
        <f t="shared" si="6"/>
        <v/>
      </c>
      <c r="AE39" s="54" t="str">
        <f>IF($B39="","",IF(NOT(ISNUMBER($AA39)),"Aguardando fechamento",IF($P39&gt;0,"ACAO: "&amp;TEXT($P39,"0")&amp;" carga(s) terceirizada(s) de forma evitavel",IF(IF(ISNUMBER($Z39),$Z39,0)&gt;IFERROR(INDEX(Parâmetros!$G$5:$G$10,MATCH($C39,Parâmetros!$B$5:$B$10,0)),""),"ALERTA: terceiros acima da meta",IF($AA39&gt;IFERROR(INDEX(Parâmetros!$D$5:$D$10,MATCH($C39,Parâmetros!$B$5:$B$10,0)),""),"ALERTA: custo/km acima da meta","OK - dentro das metas")))))</f>
        <v/>
      </c>
    </row>
    <row r="40" spans="2:31" ht="15" customHeight="1" x14ac:dyDescent="0.3">
      <c r="B40" s="48"/>
      <c r="C40" s="49"/>
      <c r="D40" s="50"/>
      <c r="E40" s="51"/>
      <c r="F40" s="52"/>
      <c r="G40" s="51"/>
      <c r="H40" s="51"/>
      <c r="I40" s="53" t="str">
        <f>IF($B40="","",IFERROR($G40*IFERROR(INDEX(Parâmetros!$C$5:$C$10,MATCH($C40,Parâmetros!$B$5:$B$10,0)),"")/Parâmetros!$C$13,""))</f>
        <v/>
      </c>
      <c r="J40" s="53" t="str">
        <f>IF($B40="","",IFERROR($E40*IFERROR(INDEX(Parâmetros!$E$5:$E$10,MATCH($C40,Parâmetros!$B$5:$B$10,0)),"")-$I40,""))</f>
        <v/>
      </c>
      <c r="K40" s="54" t="str">
        <f>IF($B40="","",IF(NOT(ISNUMBER($J40)),"",IF($J40&lt;=0,"OK - frota cobre a meta do dia",IF($J40&lt;=Parâmetros!$C$15,"ATENCAO - faltam "&amp;TEXT($J40,"0")&amp;" viagem(ns) de frota","CRITICO - faltam "&amp;TEXT($J40,"0")&amp;" viagens: acionar plano"))))</f>
        <v/>
      </c>
      <c r="L40" s="51"/>
      <c r="M40" s="51"/>
      <c r="N40" s="51"/>
      <c r="O40" s="50"/>
      <c r="P40" s="51"/>
      <c r="Q40" s="51"/>
      <c r="R40" s="55"/>
      <c r="S40" s="56"/>
      <c r="T40" s="56"/>
      <c r="U40" s="56"/>
      <c r="V40" s="19"/>
      <c r="W40" s="51"/>
      <c r="X40" s="57" t="str">
        <f t="shared" si="0"/>
        <v/>
      </c>
      <c r="Y40" s="57" t="str">
        <f t="shared" si="1"/>
        <v/>
      </c>
      <c r="Z40" s="57" t="str">
        <f t="shared" si="2"/>
        <v/>
      </c>
      <c r="AA40" s="58" t="str">
        <f t="shared" si="3"/>
        <v/>
      </c>
      <c r="AB40" s="58" t="str">
        <f t="shared" si="4"/>
        <v/>
      </c>
      <c r="AC40" s="57" t="str">
        <f t="shared" si="5"/>
        <v/>
      </c>
      <c r="AD40" s="59" t="str">
        <f t="shared" si="6"/>
        <v/>
      </c>
      <c r="AE40" s="54" t="str">
        <f>IF($B40="","",IF(NOT(ISNUMBER($AA40)),"Aguardando fechamento",IF($P40&gt;0,"ACAO: "&amp;TEXT($P40,"0")&amp;" carga(s) terceirizada(s) de forma evitavel",IF(IF(ISNUMBER($Z40),$Z40,0)&gt;IFERROR(INDEX(Parâmetros!$G$5:$G$10,MATCH($C40,Parâmetros!$B$5:$B$10,0)),""),"ALERTA: terceiros acima da meta",IF($AA40&gt;IFERROR(INDEX(Parâmetros!$D$5:$D$10,MATCH($C40,Parâmetros!$B$5:$B$10,0)),""),"ALERTA: custo/km acima da meta","OK - dentro das metas")))))</f>
        <v/>
      </c>
    </row>
    <row r="41" spans="2:31" ht="15" customHeight="1" x14ac:dyDescent="0.3">
      <c r="B41" s="48"/>
      <c r="C41" s="49"/>
      <c r="D41" s="50"/>
      <c r="E41" s="51"/>
      <c r="F41" s="52"/>
      <c r="G41" s="51"/>
      <c r="H41" s="51"/>
      <c r="I41" s="53" t="str">
        <f>IF($B41="","",IFERROR($G41*IFERROR(INDEX(Parâmetros!$C$5:$C$10,MATCH($C41,Parâmetros!$B$5:$B$10,0)),"")/Parâmetros!$C$13,""))</f>
        <v/>
      </c>
      <c r="J41" s="53" t="str">
        <f>IF($B41="","",IFERROR($E41*IFERROR(INDEX(Parâmetros!$E$5:$E$10,MATCH($C41,Parâmetros!$B$5:$B$10,0)),"")-$I41,""))</f>
        <v/>
      </c>
      <c r="K41" s="54" t="str">
        <f>IF($B41="","",IF(NOT(ISNUMBER($J41)),"",IF($J41&lt;=0,"OK - frota cobre a meta do dia",IF($J41&lt;=Parâmetros!$C$15,"ATENCAO - faltam "&amp;TEXT($J41,"0")&amp;" viagem(ns) de frota","CRITICO - faltam "&amp;TEXT($J41,"0")&amp;" viagens: acionar plano"))))</f>
        <v/>
      </c>
      <c r="L41" s="51"/>
      <c r="M41" s="51"/>
      <c r="N41" s="51"/>
      <c r="O41" s="50"/>
      <c r="P41" s="51"/>
      <c r="Q41" s="51"/>
      <c r="R41" s="55"/>
      <c r="S41" s="56"/>
      <c r="T41" s="56"/>
      <c r="U41" s="56"/>
      <c r="V41" s="19"/>
      <c r="W41" s="51"/>
      <c r="X41" s="57" t="str">
        <f t="shared" si="0"/>
        <v/>
      </c>
      <c r="Y41" s="57" t="str">
        <f t="shared" si="1"/>
        <v/>
      </c>
      <c r="Z41" s="57" t="str">
        <f t="shared" si="2"/>
        <v/>
      </c>
      <c r="AA41" s="58" t="str">
        <f t="shared" si="3"/>
        <v/>
      </c>
      <c r="AB41" s="58" t="str">
        <f t="shared" si="4"/>
        <v/>
      </c>
      <c r="AC41" s="57" t="str">
        <f t="shared" si="5"/>
        <v/>
      </c>
      <c r="AD41" s="59" t="str">
        <f t="shared" si="6"/>
        <v/>
      </c>
      <c r="AE41" s="54" t="str">
        <f>IF($B41="","",IF(NOT(ISNUMBER($AA41)),"Aguardando fechamento",IF($P41&gt;0,"ACAO: "&amp;TEXT($P41,"0")&amp;" carga(s) terceirizada(s) de forma evitavel",IF(IF(ISNUMBER($Z41),$Z41,0)&gt;IFERROR(INDEX(Parâmetros!$G$5:$G$10,MATCH($C41,Parâmetros!$B$5:$B$10,0)),""),"ALERTA: terceiros acima da meta",IF($AA41&gt;IFERROR(INDEX(Parâmetros!$D$5:$D$10,MATCH($C41,Parâmetros!$B$5:$B$10,0)),""),"ALERTA: custo/km acima da meta","OK - dentro das metas")))))</f>
        <v/>
      </c>
    </row>
    <row r="42" spans="2:31" ht="15" customHeight="1" x14ac:dyDescent="0.3">
      <c r="B42" s="48"/>
      <c r="C42" s="49"/>
      <c r="D42" s="50"/>
      <c r="E42" s="51"/>
      <c r="F42" s="52"/>
      <c r="G42" s="51"/>
      <c r="H42" s="51"/>
      <c r="I42" s="53" t="str">
        <f>IF($B42="","",IFERROR($G42*IFERROR(INDEX(Parâmetros!$C$5:$C$10,MATCH($C42,Parâmetros!$B$5:$B$10,0)),"")/Parâmetros!$C$13,""))</f>
        <v/>
      </c>
      <c r="J42" s="53" t="str">
        <f>IF($B42="","",IFERROR($E42*IFERROR(INDEX(Parâmetros!$E$5:$E$10,MATCH($C42,Parâmetros!$B$5:$B$10,0)),"")-$I42,""))</f>
        <v/>
      </c>
      <c r="K42" s="54" t="str">
        <f>IF($B42="","",IF(NOT(ISNUMBER($J42)),"",IF($J42&lt;=0,"OK - frota cobre a meta do dia",IF($J42&lt;=Parâmetros!$C$15,"ATENCAO - faltam "&amp;TEXT($J42,"0")&amp;" viagem(ns) de frota","CRITICO - faltam "&amp;TEXT($J42,"0")&amp;" viagens: acionar plano"))))</f>
        <v/>
      </c>
      <c r="L42" s="51"/>
      <c r="M42" s="51"/>
      <c r="N42" s="51"/>
      <c r="O42" s="50"/>
      <c r="P42" s="51"/>
      <c r="Q42" s="51"/>
      <c r="R42" s="55"/>
      <c r="S42" s="56"/>
      <c r="T42" s="56"/>
      <c r="U42" s="56"/>
      <c r="V42" s="19"/>
      <c r="W42" s="51"/>
      <c r="X42" s="57" t="str">
        <f t="shared" si="0"/>
        <v/>
      </c>
      <c r="Y42" s="57" t="str">
        <f t="shared" si="1"/>
        <v/>
      </c>
      <c r="Z42" s="57" t="str">
        <f t="shared" si="2"/>
        <v/>
      </c>
      <c r="AA42" s="58" t="str">
        <f t="shared" si="3"/>
        <v/>
      </c>
      <c r="AB42" s="58" t="str">
        <f t="shared" si="4"/>
        <v/>
      </c>
      <c r="AC42" s="57" t="str">
        <f t="shared" si="5"/>
        <v/>
      </c>
      <c r="AD42" s="59" t="str">
        <f t="shared" si="6"/>
        <v/>
      </c>
      <c r="AE42" s="54" t="str">
        <f>IF($B42="","",IF(NOT(ISNUMBER($AA42)),"Aguardando fechamento",IF($P42&gt;0,"ACAO: "&amp;TEXT($P42,"0")&amp;" carga(s) terceirizada(s) de forma evitavel",IF(IF(ISNUMBER($Z42),$Z42,0)&gt;IFERROR(INDEX(Parâmetros!$G$5:$G$10,MATCH($C42,Parâmetros!$B$5:$B$10,0)),""),"ALERTA: terceiros acima da meta",IF($AA42&gt;IFERROR(INDEX(Parâmetros!$D$5:$D$10,MATCH($C42,Parâmetros!$B$5:$B$10,0)),""),"ALERTA: custo/km acima da meta","OK - dentro das metas")))))</f>
        <v/>
      </c>
    </row>
    <row r="43" spans="2:31" ht="15" customHeight="1" x14ac:dyDescent="0.3">
      <c r="B43" s="48"/>
      <c r="C43" s="49"/>
      <c r="D43" s="50"/>
      <c r="E43" s="51"/>
      <c r="F43" s="52"/>
      <c r="G43" s="51"/>
      <c r="H43" s="51"/>
      <c r="I43" s="53" t="str">
        <f>IF($B43="","",IFERROR($G43*IFERROR(INDEX(Parâmetros!$C$5:$C$10,MATCH($C43,Parâmetros!$B$5:$B$10,0)),"")/Parâmetros!$C$13,""))</f>
        <v/>
      </c>
      <c r="J43" s="53" t="str">
        <f>IF($B43="","",IFERROR($E43*IFERROR(INDEX(Parâmetros!$E$5:$E$10,MATCH($C43,Parâmetros!$B$5:$B$10,0)),"")-$I43,""))</f>
        <v/>
      </c>
      <c r="K43" s="54" t="str">
        <f>IF($B43="","",IF(NOT(ISNUMBER($J43)),"",IF($J43&lt;=0,"OK - frota cobre a meta do dia",IF($J43&lt;=Parâmetros!$C$15,"ATENCAO - faltam "&amp;TEXT($J43,"0")&amp;" viagem(ns) de frota","CRITICO - faltam "&amp;TEXT($J43,"0")&amp;" viagens: acionar plano"))))</f>
        <v/>
      </c>
      <c r="L43" s="51"/>
      <c r="M43" s="51"/>
      <c r="N43" s="51"/>
      <c r="O43" s="50"/>
      <c r="P43" s="51"/>
      <c r="Q43" s="51"/>
      <c r="R43" s="55"/>
      <c r="S43" s="56"/>
      <c r="T43" s="56"/>
      <c r="U43" s="56"/>
      <c r="V43" s="19"/>
      <c r="W43" s="51"/>
      <c r="X43" s="57" t="str">
        <f t="shared" si="0"/>
        <v/>
      </c>
      <c r="Y43" s="57" t="str">
        <f t="shared" si="1"/>
        <v/>
      </c>
      <c r="Z43" s="57" t="str">
        <f t="shared" si="2"/>
        <v/>
      </c>
      <c r="AA43" s="58" t="str">
        <f t="shared" si="3"/>
        <v/>
      </c>
      <c r="AB43" s="58" t="str">
        <f t="shared" si="4"/>
        <v/>
      </c>
      <c r="AC43" s="57" t="str">
        <f t="shared" si="5"/>
        <v/>
      </c>
      <c r="AD43" s="59" t="str">
        <f t="shared" si="6"/>
        <v/>
      </c>
      <c r="AE43" s="54" t="str">
        <f>IF($B43="","",IF(NOT(ISNUMBER($AA43)),"Aguardando fechamento",IF($P43&gt;0,"ACAO: "&amp;TEXT($P43,"0")&amp;" carga(s) terceirizada(s) de forma evitavel",IF(IF(ISNUMBER($Z43),$Z43,0)&gt;IFERROR(INDEX(Parâmetros!$G$5:$G$10,MATCH($C43,Parâmetros!$B$5:$B$10,0)),""),"ALERTA: terceiros acima da meta",IF($AA43&gt;IFERROR(INDEX(Parâmetros!$D$5:$D$10,MATCH($C43,Parâmetros!$B$5:$B$10,0)),""),"ALERTA: custo/km acima da meta","OK - dentro das metas")))))</f>
        <v/>
      </c>
    </row>
    <row r="44" spans="2:31" ht="15" customHeight="1" x14ac:dyDescent="0.3">
      <c r="B44" s="48"/>
      <c r="C44" s="49"/>
      <c r="D44" s="50"/>
      <c r="E44" s="51"/>
      <c r="F44" s="52"/>
      <c r="G44" s="51"/>
      <c r="H44" s="51"/>
      <c r="I44" s="53" t="str">
        <f>IF($B44="","",IFERROR($G44*IFERROR(INDEX(Parâmetros!$C$5:$C$10,MATCH($C44,Parâmetros!$B$5:$B$10,0)),"")/Parâmetros!$C$13,""))</f>
        <v/>
      </c>
      <c r="J44" s="53" t="str">
        <f>IF($B44="","",IFERROR($E44*IFERROR(INDEX(Parâmetros!$E$5:$E$10,MATCH($C44,Parâmetros!$B$5:$B$10,0)),"")-$I44,""))</f>
        <v/>
      </c>
      <c r="K44" s="54" t="str">
        <f>IF($B44="","",IF(NOT(ISNUMBER($J44)),"",IF($J44&lt;=0,"OK - frota cobre a meta do dia",IF($J44&lt;=Parâmetros!$C$15,"ATENCAO - faltam "&amp;TEXT($J44,"0")&amp;" viagem(ns) de frota","CRITICO - faltam "&amp;TEXT($J44,"0")&amp;" viagens: acionar plano"))))</f>
        <v/>
      </c>
      <c r="L44" s="51"/>
      <c r="M44" s="51"/>
      <c r="N44" s="51"/>
      <c r="O44" s="50"/>
      <c r="P44" s="51"/>
      <c r="Q44" s="51"/>
      <c r="R44" s="55"/>
      <c r="S44" s="56"/>
      <c r="T44" s="56"/>
      <c r="U44" s="56"/>
      <c r="V44" s="19"/>
      <c r="W44" s="51"/>
      <c r="X44" s="57" t="str">
        <f t="shared" si="0"/>
        <v/>
      </c>
      <c r="Y44" s="57" t="str">
        <f t="shared" si="1"/>
        <v/>
      </c>
      <c r="Z44" s="57" t="str">
        <f t="shared" si="2"/>
        <v/>
      </c>
      <c r="AA44" s="58" t="str">
        <f t="shared" si="3"/>
        <v/>
      </c>
      <c r="AB44" s="58" t="str">
        <f t="shared" si="4"/>
        <v/>
      </c>
      <c r="AC44" s="57" t="str">
        <f t="shared" si="5"/>
        <v/>
      </c>
      <c r="AD44" s="59" t="str">
        <f t="shared" si="6"/>
        <v/>
      </c>
      <c r="AE44" s="54" t="str">
        <f>IF($B44="","",IF(NOT(ISNUMBER($AA44)),"Aguardando fechamento",IF($P44&gt;0,"ACAO: "&amp;TEXT($P44,"0")&amp;" carga(s) terceirizada(s) de forma evitavel",IF(IF(ISNUMBER($Z44),$Z44,0)&gt;IFERROR(INDEX(Parâmetros!$G$5:$G$10,MATCH($C44,Parâmetros!$B$5:$B$10,0)),""),"ALERTA: terceiros acima da meta",IF($AA44&gt;IFERROR(INDEX(Parâmetros!$D$5:$D$10,MATCH($C44,Parâmetros!$B$5:$B$10,0)),""),"ALERTA: custo/km acima da meta","OK - dentro das metas")))))</f>
        <v/>
      </c>
    </row>
    <row r="45" spans="2:31" ht="15" customHeight="1" x14ac:dyDescent="0.3">
      <c r="B45" s="48"/>
      <c r="C45" s="49"/>
      <c r="D45" s="50"/>
      <c r="E45" s="51"/>
      <c r="F45" s="52"/>
      <c r="G45" s="51"/>
      <c r="H45" s="51"/>
      <c r="I45" s="53" t="str">
        <f>IF($B45="","",IFERROR($G45*IFERROR(INDEX(Parâmetros!$C$5:$C$10,MATCH($C45,Parâmetros!$B$5:$B$10,0)),"")/Parâmetros!$C$13,""))</f>
        <v/>
      </c>
      <c r="J45" s="53" t="str">
        <f>IF($B45="","",IFERROR($E45*IFERROR(INDEX(Parâmetros!$E$5:$E$10,MATCH($C45,Parâmetros!$B$5:$B$10,0)),"")-$I45,""))</f>
        <v/>
      </c>
      <c r="K45" s="54" t="str">
        <f>IF($B45="","",IF(NOT(ISNUMBER($J45)),"",IF($J45&lt;=0,"OK - frota cobre a meta do dia",IF($J45&lt;=Parâmetros!$C$15,"ATENCAO - faltam "&amp;TEXT($J45,"0")&amp;" viagem(ns) de frota","CRITICO - faltam "&amp;TEXT($J45,"0")&amp;" viagens: acionar plano"))))</f>
        <v/>
      </c>
      <c r="L45" s="51"/>
      <c r="M45" s="51"/>
      <c r="N45" s="51"/>
      <c r="O45" s="50"/>
      <c r="P45" s="51"/>
      <c r="Q45" s="51"/>
      <c r="R45" s="55"/>
      <c r="S45" s="56"/>
      <c r="T45" s="56"/>
      <c r="U45" s="56"/>
      <c r="V45" s="19"/>
      <c r="W45" s="51"/>
      <c r="X45" s="57" t="str">
        <f t="shared" si="0"/>
        <v/>
      </c>
      <c r="Y45" s="57" t="str">
        <f t="shared" si="1"/>
        <v/>
      </c>
      <c r="Z45" s="57" t="str">
        <f t="shared" si="2"/>
        <v/>
      </c>
      <c r="AA45" s="58" t="str">
        <f t="shared" si="3"/>
        <v/>
      </c>
      <c r="AB45" s="58" t="str">
        <f t="shared" si="4"/>
        <v/>
      </c>
      <c r="AC45" s="57" t="str">
        <f t="shared" si="5"/>
        <v/>
      </c>
      <c r="AD45" s="59" t="str">
        <f t="shared" si="6"/>
        <v/>
      </c>
      <c r="AE45" s="54" t="str">
        <f>IF($B45="","",IF(NOT(ISNUMBER($AA45)),"Aguardando fechamento",IF($P45&gt;0,"ACAO: "&amp;TEXT($P45,"0")&amp;" carga(s) terceirizada(s) de forma evitavel",IF(IF(ISNUMBER($Z45),$Z45,0)&gt;IFERROR(INDEX(Parâmetros!$G$5:$G$10,MATCH($C45,Parâmetros!$B$5:$B$10,0)),""),"ALERTA: terceiros acima da meta",IF($AA45&gt;IFERROR(INDEX(Parâmetros!$D$5:$D$10,MATCH($C45,Parâmetros!$B$5:$B$10,0)),""),"ALERTA: custo/km acima da meta","OK - dentro das metas")))))</f>
        <v/>
      </c>
    </row>
    <row r="46" spans="2:31" ht="15" customHeight="1" x14ac:dyDescent="0.3">
      <c r="B46" s="48"/>
      <c r="C46" s="49"/>
      <c r="D46" s="50"/>
      <c r="E46" s="51"/>
      <c r="F46" s="52"/>
      <c r="G46" s="51"/>
      <c r="H46" s="51"/>
      <c r="I46" s="53" t="str">
        <f>IF($B46="","",IFERROR($G46*IFERROR(INDEX(Parâmetros!$C$5:$C$10,MATCH($C46,Parâmetros!$B$5:$B$10,0)),"")/Parâmetros!$C$13,""))</f>
        <v/>
      </c>
      <c r="J46" s="53" t="str">
        <f>IF($B46="","",IFERROR($E46*IFERROR(INDEX(Parâmetros!$E$5:$E$10,MATCH($C46,Parâmetros!$B$5:$B$10,0)),"")-$I46,""))</f>
        <v/>
      </c>
      <c r="K46" s="54" t="str">
        <f>IF($B46="","",IF(NOT(ISNUMBER($J46)),"",IF($J46&lt;=0,"OK - frota cobre a meta do dia",IF($J46&lt;=Parâmetros!$C$15,"ATENCAO - faltam "&amp;TEXT($J46,"0")&amp;" viagem(ns) de frota","CRITICO - faltam "&amp;TEXT($J46,"0")&amp;" viagens: acionar plano"))))</f>
        <v/>
      </c>
      <c r="L46" s="51"/>
      <c r="M46" s="51"/>
      <c r="N46" s="51"/>
      <c r="O46" s="50"/>
      <c r="P46" s="51"/>
      <c r="Q46" s="51"/>
      <c r="R46" s="55"/>
      <c r="S46" s="56"/>
      <c r="T46" s="56"/>
      <c r="U46" s="56"/>
      <c r="V46" s="19"/>
      <c r="W46" s="51"/>
      <c r="X46" s="57" t="str">
        <f t="shared" si="0"/>
        <v/>
      </c>
      <c r="Y46" s="57" t="str">
        <f t="shared" si="1"/>
        <v/>
      </c>
      <c r="Z46" s="57" t="str">
        <f t="shared" si="2"/>
        <v/>
      </c>
      <c r="AA46" s="58" t="str">
        <f t="shared" si="3"/>
        <v/>
      </c>
      <c r="AB46" s="58" t="str">
        <f t="shared" si="4"/>
        <v/>
      </c>
      <c r="AC46" s="57" t="str">
        <f t="shared" si="5"/>
        <v/>
      </c>
      <c r="AD46" s="59" t="str">
        <f t="shared" si="6"/>
        <v/>
      </c>
      <c r="AE46" s="54" t="str">
        <f>IF($B46="","",IF(NOT(ISNUMBER($AA46)),"Aguardando fechamento",IF($P46&gt;0,"ACAO: "&amp;TEXT($P46,"0")&amp;" carga(s) terceirizada(s) de forma evitavel",IF(IF(ISNUMBER($Z46),$Z46,0)&gt;IFERROR(INDEX(Parâmetros!$G$5:$G$10,MATCH($C46,Parâmetros!$B$5:$B$10,0)),""),"ALERTA: terceiros acima da meta",IF($AA46&gt;IFERROR(INDEX(Parâmetros!$D$5:$D$10,MATCH($C46,Parâmetros!$B$5:$B$10,0)),""),"ALERTA: custo/km acima da meta","OK - dentro das metas")))))</f>
        <v/>
      </c>
    </row>
    <row r="47" spans="2:31" ht="15" customHeight="1" x14ac:dyDescent="0.3">
      <c r="B47" s="48"/>
      <c r="C47" s="49"/>
      <c r="D47" s="50"/>
      <c r="E47" s="51"/>
      <c r="F47" s="52"/>
      <c r="G47" s="51"/>
      <c r="H47" s="51"/>
      <c r="I47" s="53" t="str">
        <f>IF($B47="","",IFERROR($G47*IFERROR(INDEX(Parâmetros!$C$5:$C$10,MATCH($C47,Parâmetros!$B$5:$B$10,0)),"")/Parâmetros!$C$13,""))</f>
        <v/>
      </c>
      <c r="J47" s="53" t="str">
        <f>IF($B47="","",IFERROR($E47*IFERROR(INDEX(Parâmetros!$E$5:$E$10,MATCH($C47,Parâmetros!$B$5:$B$10,0)),"")-$I47,""))</f>
        <v/>
      </c>
      <c r="K47" s="54" t="str">
        <f>IF($B47="","",IF(NOT(ISNUMBER($J47)),"",IF($J47&lt;=0,"OK - frota cobre a meta do dia",IF($J47&lt;=Parâmetros!$C$15,"ATENCAO - faltam "&amp;TEXT($J47,"0")&amp;" viagem(ns) de frota","CRITICO - faltam "&amp;TEXT($J47,"0")&amp;" viagens: acionar plano"))))</f>
        <v/>
      </c>
      <c r="L47" s="51"/>
      <c r="M47" s="51"/>
      <c r="N47" s="51"/>
      <c r="O47" s="50"/>
      <c r="P47" s="51"/>
      <c r="Q47" s="51"/>
      <c r="R47" s="55"/>
      <c r="S47" s="56"/>
      <c r="T47" s="56"/>
      <c r="U47" s="56"/>
      <c r="V47" s="19"/>
      <c r="W47" s="51"/>
      <c r="X47" s="57" t="str">
        <f t="shared" si="0"/>
        <v/>
      </c>
      <c r="Y47" s="57" t="str">
        <f t="shared" si="1"/>
        <v/>
      </c>
      <c r="Z47" s="57" t="str">
        <f t="shared" si="2"/>
        <v/>
      </c>
      <c r="AA47" s="58" t="str">
        <f t="shared" si="3"/>
        <v/>
      </c>
      <c r="AB47" s="58" t="str">
        <f t="shared" si="4"/>
        <v/>
      </c>
      <c r="AC47" s="57" t="str">
        <f t="shared" si="5"/>
        <v/>
      </c>
      <c r="AD47" s="59" t="str">
        <f t="shared" si="6"/>
        <v/>
      </c>
      <c r="AE47" s="54" t="str">
        <f>IF($B47="","",IF(NOT(ISNUMBER($AA47)),"Aguardando fechamento",IF($P47&gt;0,"ACAO: "&amp;TEXT($P47,"0")&amp;" carga(s) terceirizada(s) de forma evitavel",IF(IF(ISNUMBER($Z47),$Z47,0)&gt;IFERROR(INDEX(Parâmetros!$G$5:$G$10,MATCH($C47,Parâmetros!$B$5:$B$10,0)),""),"ALERTA: terceiros acima da meta",IF($AA47&gt;IFERROR(INDEX(Parâmetros!$D$5:$D$10,MATCH($C47,Parâmetros!$B$5:$B$10,0)),""),"ALERTA: custo/km acima da meta","OK - dentro das metas")))))</f>
        <v/>
      </c>
    </row>
    <row r="48" spans="2:31" ht="15" customHeight="1" x14ac:dyDescent="0.3">
      <c r="B48" s="48"/>
      <c r="C48" s="49"/>
      <c r="D48" s="50"/>
      <c r="E48" s="51"/>
      <c r="F48" s="52"/>
      <c r="G48" s="51"/>
      <c r="H48" s="51"/>
      <c r="I48" s="53" t="str">
        <f>IF($B48="","",IFERROR($G48*IFERROR(INDEX(Parâmetros!$C$5:$C$10,MATCH($C48,Parâmetros!$B$5:$B$10,0)),"")/Parâmetros!$C$13,""))</f>
        <v/>
      </c>
      <c r="J48" s="53" t="str">
        <f>IF($B48="","",IFERROR($E48*IFERROR(INDEX(Parâmetros!$E$5:$E$10,MATCH($C48,Parâmetros!$B$5:$B$10,0)),"")-$I48,""))</f>
        <v/>
      </c>
      <c r="K48" s="54" t="str">
        <f>IF($B48="","",IF(NOT(ISNUMBER($J48)),"",IF($J48&lt;=0,"OK - frota cobre a meta do dia",IF($J48&lt;=Parâmetros!$C$15,"ATENCAO - faltam "&amp;TEXT($J48,"0")&amp;" viagem(ns) de frota","CRITICO - faltam "&amp;TEXT($J48,"0")&amp;" viagens: acionar plano"))))</f>
        <v/>
      </c>
      <c r="L48" s="51"/>
      <c r="M48" s="51"/>
      <c r="N48" s="51"/>
      <c r="O48" s="50"/>
      <c r="P48" s="51"/>
      <c r="Q48" s="51"/>
      <c r="R48" s="55"/>
      <c r="S48" s="56"/>
      <c r="T48" s="56"/>
      <c r="U48" s="56"/>
      <c r="V48" s="19"/>
      <c r="W48" s="51"/>
      <c r="X48" s="57" t="str">
        <f t="shared" si="0"/>
        <v/>
      </c>
      <c r="Y48" s="57" t="str">
        <f t="shared" si="1"/>
        <v/>
      </c>
      <c r="Z48" s="57" t="str">
        <f t="shared" si="2"/>
        <v/>
      </c>
      <c r="AA48" s="58" t="str">
        <f t="shared" si="3"/>
        <v/>
      </c>
      <c r="AB48" s="58" t="str">
        <f t="shared" si="4"/>
        <v/>
      </c>
      <c r="AC48" s="57" t="str">
        <f t="shared" si="5"/>
        <v/>
      </c>
      <c r="AD48" s="59" t="str">
        <f t="shared" si="6"/>
        <v/>
      </c>
      <c r="AE48" s="54" t="str">
        <f>IF($B48="","",IF(NOT(ISNUMBER($AA48)),"Aguardando fechamento",IF($P48&gt;0,"ACAO: "&amp;TEXT($P48,"0")&amp;" carga(s) terceirizada(s) de forma evitavel",IF(IF(ISNUMBER($Z48),$Z48,0)&gt;IFERROR(INDEX(Parâmetros!$G$5:$G$10,MATCH($C48,Parâmetros!$B$5:$B$10,0)),""),"ALERTA: terceiros acima da meta",IF($AA48&gt;IFERROR(INDEX(Parâmetros!$D$5:$D$10,MATCH($C48,Parâmetros!$B$5:$B$10,0)),""),"ALERTA: custo/km acima da meta","OK - dentro das metas")))))</f>
        <v/>
      </c>
    </row>
    <row r="49" spans="2:31" ht="15" customHeight="1" x14ac:dyDescent="0.3">
      <c r="B49" s="48"/>
      <c r="C49" s="49"/>
      <c r="D49" s="50"/>
      <c r="E49" s="51"/>
      <c r="F49" s="52"/>
      <c r="G49" s="51"/>
      <c r="H49" s="51"/>
      <c r="I49" s="53" t="str">
        <f>IF($B49="","",IFERROR($G49*IFERROR(INDEX(Parâmetros!$C$5:$C$10,MATCH($C49,Parâmetros!$B$5:$B$10,0)),"")/Parâmetros!$C$13,""))</f>
        <v/>
      </c>
      <c r="J49" s="53" t="str">
        <f>IF($B49="","",IFERROR($E49*IFERROR(INDEX(Parâmetros!$E$5:$E$10,MATCH($C49,Parâmetros!$B$5:$B$10,0)),"")-$I49,""))</f>
        <v/>
      </c>
      <c r="K49" s="54" t="str">
        <f>IF($B49="","",IF(NOT(ISNUMBER($J49)),"",IF($J49&lt;=0,"OK - frota cobre a meta do dia",IF($J49&lt;=Parâmetros!$C$15,"ATENCAO - faltam "&amp;TEXT($J49,"0")&amp;" viagem(ns) de frota","CRITICO - faltam "&amp;TEXT($J49,"0")&amp;" viagens: acionar plano"))))</f>
        <v/>
      </c>
      <c r="L49" s="51"/>
      <c r="M49" s="51"/>
      <c r="N49" s="51"/>
      <c r="O49" s="50"/>
      <c r="P49" s="51"/>
      <c r="Q49" s="51"/>
      <c r="R49" s="55"/>
      <c r="S49" s="56"/>
      <c r="T49" s="56"/>
      <c r="U49" s="56"/>
      <c r="V49" s="19"/>
      <c r="W49" s="51"/>
      <c r="X49" s="57" t="str">
        <f t="shared" si="0"/>
        <v/>
      </c>
      <c r="Y49" s="57" t="str">
        <f t="shared" si="1"/>
        <v/>
      </c>
      <c r="Z49" s="57" t="str">
        <f t="shared" si="2"/>
        <v/>
      </c>
      <c r="AA49" s="58" t="str">
        <f t="shared" si="3"/>
        <v/>
      </c>
      <c r="AB49" s="58" t="str">
        <f t="shared" si="4"/>
        <v/>
      </c>
      <c r="AC49" s="57" t="str">
        <f t="shared" si="5"/>
        <v/>
      </c>
      <c r="AD49" s="59" t="str">
        <f t="shared" si="6"/>
        <v/>
      </c>
      <c r="AE49" s="54" t="str">
        <f>IF($B49="","",IF(NOT(ISNUMBER($AA49)),"Aguardando fechamento",IF($P49&gt;0,"ACAO: "&amp;TEXT($P49,"0")&amp;" carga(s) terceirizada(s) de forma evitavel",IF(IF(ISNUMBER($Z49),$Z49,0)&gt;IFERROR(INDEX(Parâmetros!$G$5:$G$10,MATCH($C49,Parâmetros!$B$5:$B$10,0)),""),"ALERTA: terceiros acima da meta",IF($AA49&gt;IFERROR(INDEX(Parâmetros!$D$5:$D$10,MATCH($C49,Parâmetros!$B$5:$B$10,0)),""),"ALERTA: custo/km acima da meta","OK - dentro das metas")))))</f>
        <v/>
      </c>
    </row>
    <row r="50" spans="2:31" ht="15" customHeight="1" x14ac:dyDescent="0.3">
      <c r="B50" s="48"/>
      <c r="C50" s="49"/>
      <c r="D50" s="50"/>
      <c r="E50" s="51"/>
      <c r="F50" s="52"/>
      <c r="G50" s="51"/>
      <c r="H50" s="51"/>
      <c r="I50" s="53" t="str">
        <f>IF($B50="","",IFERROR($G50*IFERROR(INDEX(Parâmetros!$C$5:$C$10,MATCH($C50,Parâmetros!$B$5:$B$10,0)),"")/Parâmetros!$C$13,""))</f>
        <v/>
      </c>
      <c r="J50" s="53" t="str">
        <f>IF($B50="","",IFERROR($E50*IFERROR(INDEX(Parâmetros!$E$5:$E$10,MATCH($C50,Parâmetros!$B$5:$B$10,0)),"")-$I50,""))</f>
        <v/>
      </c>
      <c r="K50" s="54" t="str">
        <f>IF($B50="","",IF(NOT(ISNUMBER($J50)),"",IF($J50&lt;=0,"OK - frota cobre a meta do dia",IF($J50&lt;=Parâmetros!$C$15,"ATENCAO - faltam "&amp;TEXT($J50,"0")&amp;" viagem(ns) de frota","CRITICO - faltam "&amp;TEXT($J50,"0")&amp;" viagens: acionar plano"))))</f>
        <v/>
      </c>
      <c r="L50" s="51"/>
      <c r="M50" s="51"/>
      <c r="N50" s="51"/>
      <c r="O50" s="50"/>
      <c r="P50" s="51"/>
      <c r="Q50" s="51"/>
      <c r="R50" s="55"/>
      <c r="S50" s="56"/>
      <c r="T50" s="56"/>
      <c r="U50" s="56"/>
      <c r="V50" s="19"/>
      <c r="W50" s="51"/>
      <c r="X50" s="57" t="str">
        <f t="shared" si="0"/>
        <v/>
      </c>
      <c r="Y50" s="57" t="str">
        <f t="shared" si="1"/>
        <v/>
      </c>
      <c r="Z50" s="57" t="str">
        <f t="shared" si="2"/>
        <v/>
      </c>
      <c r="AA50" s="58" t="str">
        <f t="shared" si="3"/>
        <v/>
      </c>
      <c r="AB50" s="58" t="str">
        <f t="shared" si="4"/>
        <v/>
      </c>
      <c r="AC50" s="57" t="str">
        <f t="shared" si="5"/>
        <v/>
      </c>
      <c r="AD50" s="59" t="str">
        <f t="shared" si="6"/>
        <v/>
      </c>
      <c r="AE50" s="54" t="str">
        <f>IF($B50="","",IF(NOT(ISNUMBER($AA50)),"Aguardando fechamento",IF($P50&gt;0,"ACAO: "&amp;TEXT($P50,"0")&amp;" carga(s) terceirizada(s) de forma evitavel",IF(IF(ISNUMBER($Z50),$Z50,0)&gt;IFERROR(INDEX(Parâmetros!$G$5:$G$10,MATCH($C50,Parâmetros!$B$5:$B$10,0)),""),"ALERTA: terceiros acima da meta",IF($AA50&gt;IFERROR(INDEX(Parâmetros!$D$5:$D$10,MATCH($C50,Parâmetros!$B$5:$B$10,0)),""),"ALERTA: custo/km acima da meta","OK - dentro das metas")))))</f>
        <v/>
      </c>
    </row>
    <row r="51" spans="2:31" ht="15" customHeight="1" x14ac:dyDescent="0.3">
      <c r="B51" s="48"/>
      <c r="C51" s="49"/>
      <c r="D51" s="50"/>
      <c r="E51" s="51"/>
      <c r="F51" s="52"/>
      <c r="G51" s="51"/>
      <c r="H51" s="51"/>
      <c r="I51" s="53" t="str">
        <f>IF($B51="","",IFERROR($G51*IFERROR(INDEX(Parâmetros!$C$5:$C$10,MATCH($C51,Parâmetros!$B$5:$B$10,0)),"")/Parâmetros!$C$13,""))</f>
        <v/>
      </c>
      <c r="J51" s="53" t="str">
        <f>IF($B51="","",IFERROR($E51*IFERROR(INDEX(Parâmetros!$E$5:$E$10,MATCH($C51,Parâmetros!$B$5:$B$10,0)),"")-$I51,""))</f>
        <v/>
      </c>
      <c r="K51" s="54" t="str">
        <f>IF($B51="","",IF(NOT(ISNUMBER($J51)),"",IF($J51&lt;=0,"OK - frota cobre a meta do dia",IF($J51&lt;=Parâmetros!$C$15,"ATENCAO - faltam "&amp;TEXT($J51,"0")&amp;" viagem(ns) de frota","CRITICO - faltam "&amp;TEXT($J51,"0")&amp;" viagens: acionar plano"))))</f>
        <v/>
      </c>
      <c r="L51" s="51"/>
      <c r="M51" s="51"/>
      <c r="N51" s="51"/>
      <c r="O51" s="50"/>
      <c r="P51" s="51"/>
      <c r="Q51" s="51"/>
      <c r="R51" s="55"/>
      <c r="S51" s="56"/>
      <c r="T51" s="56"/>
      <c r="U51" s="56"/>
      <c r="V51" s="19"/>
      <c r="W51" s="51"/>
      <c r="X51" s="57" t="str">
        <f t="shared" si="0"/>
        <v/>
      </c>
      <c r="Y51" s="57" t="str">
        <f t="shared" si="1"/>
        <v/>
      </c>
      <c r="Z51" s="57" t="str">
        <f t="shared" si="2"/>
        <v/>
      </c>
      <c r="AA51" s="58" t="str">
        <f t="shared" si="3"/>
        <v/>
      </c>
      <c r="AB51" s="58" t="str">
        <f t="shared" si="4"/>
        <v/>
      </c>
      <c r="AC51" s="57" t="str">
        <f t="shared" si="5"/>
        <v/>
      </c>
      <c r="AD51" s="59" t="str">
        <f t="shared" si="6"/>
        <v/>
      </c>
      <c r="AE51" s="54" t="str">
        <f>IF($B51="","",IF(NOT(ISNUMBER($AA51)),"Aguardando fechamento",IF($P51&gt;0,"ACAO: "&amp;TEXT($P51,"0")&amp;" carga(s) terceirizada(s) de forma evitavel",IF(IF(ISNUMBER($Z51),$Z51,0)&gt;IFERROR(INDEX(Parâmetros!$G$5:$G$10,MATCH($C51,Parâmetros!$B$5:$B$10,0)),""),"ALERTA: terceiros acima da meta",IF($AA51&gt;IFERROR(INDEX(Parâmetros!$D$5:$D$10,MATCH($C51,Parâmetros!$B$5:$B$10,0)),""),"ALERTA: custo/km acima da meta","OK - dentro das metas")))))</f>
        <v/>
      </c>
    </row>
    <row r="52" spans="2:31" ht="15" customHeight="1" x14ac:dyDescent="0.3">
      <c r="B52" s="48"/>
      <c r="C52" s="49"/>
      <c r="D52" s="50"/>
      <c r="E52" s="51"/>
      <c r="F52" s="52"/>
      <c r="G52" s="51"/>
      <c r="H52" s="51"/>
      <c r="I52" s="53" t="str">
        <f>IF($B52="","",IFERROR($G52*IFERROR(INDEX(Parâmetros!$C$5:$C$10,MATCH($C52,Parâmetros!$B$5:$B$10,0)),"")/Parâmetros!$C$13,""))</f>
        <v/>
      </c>
      <c r="J52" s="53" t="str">
        <f>IF($B52="","",IFERROR($E52*IFERROR(INDEX(Parâmetros!$E$5:$E$10,MATCH($C52,Parâmetros!$B$5:$B$10,0)),"")-$I52,""))</f>
        <v/>
      </c>
      <c r="K52" s="54" t="str">
        <f>IF($B52="","",IF(NOT(ISNUMBER($J52)),"",IF($J52&lt;=0,"OK - frota cobre a meta do dia",IF($J52&lt;=Parâmetros!$C$15,"ATENCAO - faltam "&amp;TEXT($J52,"0")&amp;" viagem(ns) de frota","CRITICO - faltam "&amp;TEXT($J52,"0")&amp;" viagens: acionar plano"))))</f>
        <v/>
      </c>
      <c r="L52" s="51"/>
      <c r="M52" s="51"/>
      <c r="N52" s="51"/>
      <c r="O52" s="50"/>
      <c r="P52" s="51"/>
      <c r="Q52" s="51"/>
      <c r="R52" s="55"/>
      <c r="S52" s="56"/>
      <c r="T52" s="56"/>
      <c r="U52" s="56"/>
      <c r="V52" s="19"/>
      <c r="W52" s="51"/>
      <c r="X52" s="57" t="str">
        <f t="shared" si="0"/>
        <v/>
      </c>
      <c r="Y52" s="57" t="str">
        <f t="shared" si="1"/>
        <v/>
      </c>
      <c r="Z52" s="57" t="str">
        <f t="shared" si="2"/>
        <v/>
      </c>
      <c r="AA52" s="58" t="str">
        <f t="shared" si="3"/>
        <v/>
      </c>
      <c r="AB52" s="58" t="str">
        <f t="shared" si="4"/>
        <v/>
      </c>
      <c r="AC52" s="57" t="str">
        <f t="shared" si="5"/>
        <v/>
      </c>
      <c r="AD52" s="59" t="str">
        <f t="shared" si="6"/>
        <v/>
      </c>
      <c r="AE52" s="54" t="str">
        <f>IF($B52="","",IF(NOT(ISNUMBER($AA52)),"Aguardando fechamento",IF($P52&gt;0,"ACAO: "&amp;TEXT($P52,"0")&amp;" carga(s) terceirizada(s) de forma evitavel",IF(IF(ISNUMBER($Z52),$Z52,0)&gt;IFERROR(INDEX(Parâmetros!$G$5:$G$10,MATCH($C52,Parâmetros!$B$5:$B$10,0)),""),"ALERTA: terceiros acima da meta",IF($AA52&gt;IFERROR(INDEX(Parâmetros!$D$5:$D$10,MATCH($C52,Parâmetros!$B$5:$B$10,0)),""),"ALERTA: custo/km acima da meta","OK - dentro das metas")))))</f>
        <v/>
      </c>
    </row>
    <row r="53" spans="2:31" ht="15" customHeight="1" x14ac:dyDescent="0.3">
      <c r="B53" s="48"/>
      <c r="C53" s="49"/>
      <c r="D53" s="50"/>
      <c r="E53" s="51"/>
      <c r="F53" s="52"/>
      <c r="G53" s="51"/>
      <c r="H53" s="51"/>
      <c r="I53" s="53" t="str">
        <f>IF($B53="","",IFERROR($G53*IFERROR(INDEX(Parâmetros!$C$5:$C$10,MATCH($C53,Parâmetros!$B$5:$B$10,0)),"")/Parâmetros!$C$13,""))</f>
        <v/>
      </c>
      <c r="J53" s="53" t="str">
        <f>IF($B53="","",IFERROR($E53*IFERROR(INDEX(Parâmetros!$E$5:$E$10,MATCH($C53,Parâmetros!$B$5:$B$10,0)),"")-$I53,""))</f>
        <v/>
      </c>
      <c r="K53" s="54" t="str">
        <f>IF($B53="","",IF(NOT(ISNUMBER($J53)),"",IF($J53&lt;=0,"OK - frota cobre a meta do dia",IF($J53&lt;=Parâmetros!$C$15,"ATENCAO - faltam "&amp;TEXT($J53,"0")&amp;" viagem(ns) de frota","CRITICO - faltam "&amp;TEXT($J53,"0")&amp;" viagens: acionar plano"))))</f>
        <v/>
      </c>
      <c r="L53" s="51"/>
      <c r="M53" s="51"/>
      <c r="N53" s="51"/>
      <c r="O53" s="50"/>
      <c r="P53" s="51"/>
      <c r="Q53" s="51"/>
      <c r="R53" s="55"/>
      <c r="S53" s="56"/>
      <c r="T53" s="56"/>
      <c r="U53" s="56"/>
      <c r="V53" s="19"/>
      <c r="W53" s="51"/>
      <c r="X53" s="57" t="str">
        <f t="shared" si="0"/>
        <v/>
      </c>
      <c r="Y53" s="57" t="str">
        <f t="shared" si="1"/>
        <v/>
      </c>
      <c r="Z53" s="57" t="str">
        <f t="shared" si="2"/>
        <v/>
      </c>
      <c r="AA53" s="58" t="str">
        <f t="shared" si="3"/>
        <v/>
      </c>
      <c r="AB53" s="58" t="str">
        <f t="shared" si="4"/>
        <v/>
      </c>
      <c r="AC53" s="57" t="str">
        <f t="shared" si="5"/>
        <v/>
      </c>
      <c r="AD53" s="59" t="str">
        <f t="shared" si="6"/>
        <v/>
      </c>
      <c r="AE53" s="54" t="str">
        <f>IF($B53="","",IF(NOT(ISNUMBER($AA53)),"Aguardando fechamento",IF($P53&gt;0,"ACAO: "&amp;TEXT($P53,"0")&amp;" carga(s) terceirizada(s) de forma evitavel",IF(IF(ISNUMBER($Z53),$Z53,0)&gt;IFERROR(INDEX(Parâmetros!$G$5:$G$10,MATCH($C53,Parâmetros!$B$5:$B$10,0)),""),"ALERTA: terceiros acima da meta",IF($AA53&gt;IFERROR(INDEX(Parâmetros!$D$5:$D$10,MATCH($C53,Parâmetros!$B$5:$B$10,0)),""),"ALERTA: custo/km acima da meta","OK - dentro das metas")))))</f>
        <v/>
      </c>
    </row>
    <row r="54" spans="2:31" ht="15" customHeight="1" x14ac:dyDescent="0.3">
      <c r="B54" s="48"/>
      <c r="C54" s="49"/>
      <c r="D54" s="50"/>
      <c r="E54" s="51"/>
      <c r="F54" s="52"/>
      <c r="G54" s="51"/>
      <c r="H54" s="51"/>
      <c r="I54" s="53" t="str">
        <f>IF($B54="","",IFERROR($G54*IFERROR(INDEX(Parâmetros!$C$5:$C$10,MATCH($C54,Parâmetros!$B$5:$B$10,0)),"")/Parâmetros!$C$13,""))</f>
        <v/>
      </c>
      <c r="J54" s="53" t="str">
        <f>IF($B54="","",IFERROR($E54*IFERROR(INDEX(Parâmetros!$E$5:$E$10,MATCH($C54,Parâmetros!$B$5:$B$10,0)),"")-$I54,""))</f>
        <v/>
      </c>
      <c r="K54" s="54" t="str">
        <f>IF($B54="","",IF(NOT(ISNUMBER($J54)),"",IF($J54&lt;=0,"OK - frota cobre a meta do dia",IF($J54&lt;=Parâmetros!$C$15,"ATENCAO - faltam "&amp;TEXT($J54,"0")&amp;" viagem(ns) de frota","CRITICO - faltam "&amp;TEXT($J54,"0")&amp;" viagens: acionar plano"))))</f>
        <v/>
      </c>
      <c r="L54" s="51"/>
      <c r="M54" s="51"/>
      <c r="N54" s="51"/>
      <c r="O54" s="50"/>
      <c r="P54" s="51"/>
      <c r="Q54" s="51"/>
      <c r="R54" s="55"/>
      <c r="S54" s="56"/>
      <c r="T54" s="56"/>
      <c r="U54" s="56"/>
      <c r="V54" s="19"/>
      <c r="W54" s="51"/>
      <c r="X54" s="57" t="str">
        <f t="shared" si="0"/>
        <v/>
      </c>
      <c r="Y54" s="57" t="str">
        <f t="shared" si="1"/>
        <v/>
      </c>
      <c r="Z54" s="57" t="str">
        <f t="shared" si="2"/>
        <v/>
      </c>
      <c r="AA54" s="58" t="str">
        <f t="shared" si="3"/>
        <v/>
      </c>
      <c r="AB54" s="58" t="str">
        <f t="shared" si="4"/>
        <v/>
      </c>
      <c r="AC54" s="57" t="str">
        <f t="shared" si="5"/>
        <v/>
      </c>
      <c r="AD54" s="59" t="str">
        <f t="shared" si="6"/>
        <v/>
      </c>
      <c r="AE54" s="54" t="str">
        <f>IF($B54="","",IF(NOT(ISNUMBER($AA54)),"Aguardando fechamento",IF($P54&gt;0,"ACAO: "&amp;TEXT($P54,"0")&amp;" carga(s) terceirizada(s) de forma evitavel",IF(IF(ISNUMBER($Z54),$Z54,0)&gt;IFERROR(INDEX(Parâmetros!$G$5:$G$10,MATCH($C54,Parâmetros!$B$5:$B$10,0)),""),"ALERTA: terceiros acima da meta",IF($AA54&gt;IFERROR(INDEX(Parâmetros!$D$5:$D$10,MATCH($C54,Parâmetros!$B$5:$B$10,0)),""),"ALERTA: custo/km acima da meta","OK - dentro das metas")))))</f>
        <v/>
      </c>
    </row>
    <row r="55" spans="2:31" ht="15" customHeight="1" x14ac:dyDescent="0.3">
      <c r="B55" s="48"/>
      <c r="C55" s="49"/>
      <c r="D55" s="50"/>
      <c r="E55" s="51"/>
      <c r="F55" s="52"/>
      <c r="G55" s="51"/>
      <c r="H55" s="51"/>
      <c r="I55" s="53" t="str">
        <f>IF($B55="","",IFERROR($G55*IFERROR(INDEX(Parâmetros!$C$5:$C$10,MATCH($C55,Parâmetros!$B$5:$B$10,0)),"")/Parâmetros!$C$13,""))</f>
        <v/>
      </c>
      <c r="J55" s="53" t="str">
        <f>IF($B55="","",IFERROR($E55*IFERROR(INDEX(Parâmetros!$E$5:$E$10,MATCH($C55,Parâmetros!$B$5:$B$10,0)),"")-$I55,""))</f>
        <v/>
      </c>
      <c r="K55" s="54" t="str">
        <f>IF($B55="","",IF(NOT(ISNUMBER($J55)),"",IF($J55&lt;=0,"OK - frota cobre a meta do dia",IF($J55&lt;=Parâmetros!$C$15,"ATENCAO - faltam "&amp;TEXT($J55,"0")&amp;" viagem(ns) de frota","CRITICO - faltam "&amp;TEXT($J55,"0")&amp;" viagens: acionar plano"))))</f>
        <v/>
      </c>
      <c r="L55" s="51"/>
      <c r="M55" s="51"/>
      <c r="N55" s="51"/>
      <c r="O55" s="50"/>
      <c r="P55" s="51"/>
      <c r="Q55" s="51"/>
      <c r="R55" s="55"/>
      <c r="S55" s="56"/>
      <c r="T55" s="56"/>
      <c r="U55" s="56"/>
      <c r="V55" s="19"/>
      <c r="W55" s="51"/>
      <c r="X55" s="57" t="str">
        <f t="shared" si="0"/>
        <v/>
      </c>
      <c r="Y55" s="57" t="str">
        <f t="shared" si="1"/>
        <v/>
      </c>
      <c r="Z55" s="57" t="str">
        <f t="shared" si="2"/>
        <v/>
      </c>
      <c r="AA55" s="58" t="str">
        <f t="shared" si="3"/>
        <v/>
      </c>
      <c r="AB55" s="58" t="str">
        <f t="shared" si="4"/>
        <v/>
      </c>
      <c r="AC55" s="57" t="str">
        <f t="shared" si="5"/>
        <v/>
      </c>
      <c r="AD55" s="59" t="str">
        <f t="shared" si="6"/>
        <v/>
      </c>
      <c r="AE55" s="54" t="str">
        <f>IF($B55="","",IF(NOT(ISNUMBER($AA55)),"Aguardando fechamento",IF($P55&gt;0,"ACAO: "&amp;TEXT($P55,"0")&amp;" carga(s) terceirizada(s) de forma evitavel",IF(IF(ISNUMBER($Z55),$Z55,0)&gt;IFERROR(INDEX(Parâmetros!$G$5:$G$10,MATCH($C55,Parâmetros!$B$5:$B$10,0)),""),"ALERTA: terceiros acima da meta",IF($AA55&gt;IFERROR(INDEX(Parâmetros!$D$5:$D$10,MATCH($C55,Parâmetros!$B$5:$B$10,0)),""),"ALERTA: custo/km acima da meta","OK - dentro das metas")))))</f>
        <v/>
      </c>
    </row>
    <row r="56" spans="2:31" ht="15" customHeight="1" x14ac:dyDescent="0.3">
      <c r="B56" s="48"/>
      <c r="C56" s="49"/>
      <c r="D56" s="50"/>
      <c r="E56" s="51"/>
      <c r="F56" s="52"/>
      <c r="G56" s="51"/>
      <c r="H56" s="51"/>
      <c r="I56" s="53" t="str">
        <f>IF($B56="","",IFERROR($G56*IFERROR(INDEX(Parâmetros!$C$5:$C$10,MATCH($C56,Parâmetros!$B$5:$B$10,0)),"")/Parâmetros!$C$13,""))</f>
        <v/>
      </c>
      <c r="J56" s="53" t="str">
        <f>IF($B56="","",IFERROR($E56*IFERROR(INDEX(Parâmetros!$E$5:$E$10,MATCH($C56,Parâmetros!$B$5:$B$10,0)),"")-$I56,""))</f>
        <v/>
      </c>
      <c r="K56" s="54" t="str">
        <f>IF($B56="","",IF(NOT(ISNUMBER($J56)),"",IF($J56&lt;=0,"OK - frota cobre a meta do dia",IF($J56&lt;=Parâmetros!$C$15,"ATENCAO - faltam "&amp;TEXT($J56,"0")&amp;" viagem(ns) de frota","CRITICO - faltam "&amp;TEXT($J56,"0")&amp;" viagens: acionar plano"))))</f>
        <v/>
      </c>
      <c r="L56" s="51"/>
      <c r="M56" s="51"/>
      <c r="N56" s="51"/>
      <c r="O56" s="50"/>
      <c r="P56" s="51"/>
      <c r="Q56" s="51"/>
      <c r="R56" s="55"/>
      <c r="S56" s="56"/>
      <c r="T56" s="56"/>
      <c r="U56" s="56"/>
      <c r="V56" s="19"/>
      <c r="W56" s="51"/>
      <c r="X56" s="57" t="str">
        <f t="shared" si="0"/>
        <v/>
      </c>
      <c r="Y56" s="57" t="str">
        <f t="shared" si="1"/>
        <v/>
      </c>
      <c r="Z56" s="57" t="str">
        <f t="shared" si="2"/>
        <v/>
      </c>
      <c r="AA56" s="58" t="str">
        <f t="shared" si="3"/>
        <v/>
      </c>
      <c r="AB56" s="58" t="str">
        <f t="shared" si="4"/>
        <v/>
      </c>
      <c r="AC56" s="57" t="str">
        <f t="shared" si="5"/>
        <v/>
      </c>
      <c r="AD56" s="59" t="str">
        <f t="shared" si="6"/>
        <v/>
      </c>
      <c r="AE56" s="54" t="str">
        <f>IF($B56="","",IF(NOT(ISNUMBER($AA56)),"Aguardando fechamento",IF($P56&gt;0,"ACAO: "&amp;TEXT($P56,"0")&amp;" carga(s) terceirizada(s) de forma evitavel",IF(IF(ISNUMBER($Z56),$Z56,0)&gt;IFERROR(INDEX(Parâmetros!$G$5:$G$10,MATCH($C56,Parâmetros!$B$5:$B$10,0)),""),"ALERTA: terceiros acima da meta",IF($AA56&gt;IFERROR(INDEX(Parâmetros!$D$5:$D$10,MATCH($C56,Parâmetros!$B$5:$B$10,0)),""),"ALERTA: custo/km acima da meta","OK - dentro das metas")))))</f>
        <v/>
      </c>
    </row>
    <row r="57" spans="2:31" ht="15" customHeight="1" x14ac:dyDescent="0.3">
      <c r="B57" s="48"/>
      <c r="C57" s="49"/>
      <c r="D57" s="50"/>
      <c r="E57" s="51"/>
      <c r="F57" s="52"/>
      <c r="G57" s="51"/>
      <c r="H57" s="51"/>
      <c r="I57" s="53" t="str">
        <f>IF($B57="","",IFERROR($G57*IFERROR(INDEX(Parâmetros!$C$5:$C$10,MATCH($C57,Parâmetros!$B$5:$B$10,0)),"")/Parâmetros!$C$13,""))</f>
        <v/>
      </c>
      <c r="J57" s="53" t="str">
        <f>IF($B57="","",IFERROR($E57*IFERROR(INDEX(Parâmetros!$E$5:$E$10,MATCH($C57,Parâmetros!$B$5:$B$10,0)),"")-$I57,""))</f>
        <v/>
      </c>
      <c r="K57" s="54" t="str">
        <f>IF($B57="","",IF(NOT(ISNUMBER($J57)),"",IF($J57&lt;=0,"OK - frota cobre a meta do dia",IF($J57&lt;=Parâmetros!$C$15,"ATENCAO - faltam "&amp;TEXT($J57,"0")&amp;" viagem(ns) de frota","CRITICO - faltam "&amp;TEXT($J57,"0")&amp;" viagens: acionar plano"))))</f>
        <v/>
      </c>
      <c r="L57" s="51"/>
      <c r="M57" s="51"/>
      <c r="N57" s="51"/>
      <c r="O57" s="50"/>
      <c r="P57" s="51"/>
      <c r="Q57" s="51"/>
      <c r="R57" s="55"/>
      <c r="S57" s="56"/>
      <c r="T57" s="56"/>
      <c r="U57" s="56"/>
      <c r="V57" s="19"/>
      <c r="W57" s="51"/>
      <c r="X57" s="57" t="str">
        <f t="shared" si="0"/>
        <v/>
      </c>
      <c r="Y57" s="57" t="str">
        <f t="shared" si="1"/>
        <v/>
      </c>
      <c r="Z57" s="57" t="str">
        <f t="shared" si="2"/>
        <v/>
      </c>
      <c r="AA57" s="58" t="str">
        <f t="shared" si="3"/>
        <v/>
      </c>
      <c r="AB57" s="58" t="str">
        <f t="shared" si="4"/>
        <v/>
      </c>
      <c r="AC57" s="57" t="str">
        <f t="shared" si="5"/>
        <v/>
      </c>
      <c r="AD57" s="59" t="str">
        <f t="shared" si="6"/>
        <v/>
      </c>
      <c r="AE57" s="54" t="str">
        <f>IF($B57="","",IF(NOT(ISNUMBER($AA57)),"Aguardando fechamento",IF($P57&gt;0,"ACAO: "&amp;TEXT($P57,"0")&amp;" carga(s) terceirizada(s) de forma evitavel",IF(IF(ISNUMBER($Z57),$Z57,0)&gt;IFERROR(INDEX(Parâmetros!$G$5:$G$10,MATCH($C57,Parâmetros!$B$5:$B$10,0)),""),"ALERTA: terceiros acima da meta",IF($AA57&gt;IFERROR(INDEX(Parâmetros!$D$5:$D$10,MATCH($C57,Parâmetros!$B$5:$B$10,0)),""),"ALERTA: custo/km acima da meta","OK - dentro das metas")))))</f>
        <v/>
      </c>
    </row>
    <row r="58" spans="2:31" ht="15" customHeight="1" x14ac:dyDescent="0.3">
      <c r="B58" s="48"/>
      <c r="C58" s="49"/>
      <c r="D58" s="50"/>
      <c r="E58" s="51"/>
      <c r="F58" s="52"/>
      <c r="G58" s="51"/>
      <c r="H58" s="51"/>
      <c r="I58" s="53" t="str">
        <f>IF($B58="","",IFERROR($G58*IFERROR(INDEX(Parâmetros!$C$5:$C$10,MATCH($C58,Parâmetros!$B$5:$B$10,0)),"")/Parâmetros!$C$13,""))</f>
        <v/>
      </c>
      <c r="J58" s="53" t="str">
        <f>IF($B58="","",IFERROR($E58*IFERROR(INDEX(Parâmetros!$E$5:$E$10,MATCH($C58,Parâmetros!$B$5:$B$10,0)),"")-$I58,""))</f>
        <v/>
      </c>
      <c r="K58" s="54" t="str">
        <f>IF($B58="","",IF(NOT(ISNUMBER($J58)),"",IF($J58&lt;=0,"OK - frota cobre a meta do dia",IF($J58&lt;=Parâmetros!$C$15,"ATENCAO - faltam "&amp;TEXT($J58,"0")&amp;" viagem(ns) de frota","CRITICO - faltam "&amp;TEXT($J58,"0")&amp;" viagens: acionar plano"))))</f>
        <v/>
      </c>
      <c r="L58" s="51"/>
      <c r="M58" s="51"/>
      <c r="N58" s="51"/>
      <c r="O58" s="50"/>
      <c r="P58" s="51"/>
      <c r="Q58" s="51"/>
      <c r="R58" s="55"/>
      <c r="S58" s="56"/>
      <c r="T58" s="56"/>
      <c r="U58" s="56"/>
      <c r="V58" s="19"/>
      <c r="W58" s="51"/>
      <c r="X58" s="57" t="str">
        <f t="shared" si="0"/>
        <v/>
      </c>
      <c r="Y58" s="57" t="str">
        <f t="shared" si="1"/>
        <v/>
      </c>
      <c r="Z58" s="57" t="str">
        <f t="shared" si="2"/>
        <v/>
      </c>
      <c r="AA58" s="58" t="str">
        <f t="shared" si="3"/>
        <v/>
      </c>
      <c r="AB58" s="58" t="str">
        <f t="shared" si="4"/>
        <v/>
      </c>
      <c r="AC58" s="57" t="str">
        <f t="shared" si="5"/>
        <v/>
      </c>
      <c r="AD58" s="59" t="str">
        <f t="shared" si="6"/>
        <v/>
      </c>
      <c r="AE58" s="54" t="str">
        <f>IF($B58="","",IF(NOT(ISNUMBER($AA58)),"Aguardando fechamento",IF($P58&gt;0,"ACAO: "&amp;TEXT($P58,"0")&amp;" carga(s) terceirizada(s) de forma evitavel",IF(IF(ISNUMBER($Z58),$Z58,0)&gt;IFERROR(INDEX(Parâmetros!$G$5:$G$10,MATCH($C58,Parâmetros!$B$5:$B$10,0)),""),"ALERTA: terceiros acima da meta",IF($AA58&gt;IFERROR(INDEX(Parâmetros!$D$5:$D$10,MATCH($C58,Parâmetros!$B$5:$B$10,0)),""),"ALERTA: custo/km acima da meta","OK - dentro das metas")))))</f>
        <v/>
      </c>
    </row>
    <row r="59" spans="2:31" ht="15" customHeight="1" x14ac:dyDescent="0.3">
      <c r="B59" s="48"/>
      <c r="C59" s="49"/>
      <c r="D59" s="50"/>
      <c r="E59" s="51"/>
      <c r="F59" s="52"/>
      <c r="G59" s="51"/>
      <c r="H59" s="51"/>
      <c r="I59" s="53" t="str">
        <f>IF($B59="","",IFERROR($G59*IFERROR(INDEX(Parâmetros!$C$5:$C$10,MATCH($C59,Parâmetros!$B$5:$B$10,0)),"")/Parâmetros!$C$13,""))</f>
        <v/>
      </c>
      <c r="J59" s="53" t="str">
        <f>IF($B59="","",IFERROR($E59*IFERROR(INDEX(Parâmetros!$E$5:$E$10,MATCH($C59,Parâmetros!$B$5:$B$10,0)),"")-$I59,""))</f>
        <v/>
      </c>
      <c r="K59" s="54" t="str">
        <f>IF($B59="","",IF(NOT(ISNUMBER($J59)),"",IF($J59&lt;=0,"OK - frota cobre a meta do dia",IF($J59&lt;=Parâmetros!$C$15,"ATENCAO - faltam "&amp;TEXT($J59,"0")&amp;" viagem(ns) de frota","CRITICO - faltam "&amp;TEXT($J59,"0")&amp;" viagens: acionar plano"))))</f>
        <v/>
      </c>
      <c r="L59" s="51"/>
      <c r="M59" s="51"/>
      <c r="N59" s="51"/>
      <c r="O59" s="50"/>
      <c r="P59" s="51"/>
      <c r="Q59" s="51"/>
      <c r="R59" s="55"/>
      <c r="S59" s="56"/>
      <c r="T59" s="56"/>
      <c r="U59" s="56"/>
      <c r="V59" s="19"/>
      <c r="W59" s="51"/>
      <c r="X59" s="57" t="str">
        <f t="shared" si="0"/>
        <v/>
      </c>
      <c r="Y59" s="57" t="str">
        <f t="shared" si="1"/>
        <v/>
      </c>
      <c r="Z59" s="57" t="str">
        <f t="shared" si="2"/>
        <v/>
      </c>
      <c r="AA59" s="58" t="str">
        <f t="shared" si="3"/>
        <v/>
      </c>
      <c r="AB59" s="58" t="str">
        <f t="shared" si="4"/>
        <v/>
      </c>
      <c r="AC59" s="57" t="str">
        <f t="shared" si="5"/>
        <v/>
      </c>
      <c r="AD59" s="59" t="str">
        <f t="shared" si="6"/>
        <v/>
      </c>
      <c r="AE59" s="54" t="str">
        <f>IF($B59="","",IF(NOT(ISNUMBER($AA59)),"Aguardando fechamento",IF($P59&gt;0,"ACAO: "&amp;TEXT($P59,"0")&amp;" carga(s) terceirizada(s) de forma evitavel",IF(IF(ISNUMBER($Z59),$Z59,0)&gt;IFERROR(INDEX(Parâmetros!$G$5:$G$10,MATCH($C59,Parâmetros!$B$5:$B$10,0)),""),"ALERTA: terceiros acima da meta",IF($AA59&gt;IFERROR(INDEX(Parâmetros!$D$5:$D$10,MATCH($C59,Parâmetros!$B$5:$B$10,0)),""),"ALERTA: custo/km acima da meta","OK - dentro das metas")))))</f>
        <v/>
      </c>
    </row>
    <row r="60" spans="2:31" ht="15" customHeight="1" x14ac:dyDescent="0.3">
      <c r="B60" s="48"/>
      <c r="C60" s="49"/>
      <c r="D60" s="50"/>
      <c r="E60" s="51"/>
      <c r="F60" s="52"/>
      <c r="G60" s="51"/>
      <c r="H60" s="51"/>
      <c r="I60" s="53" t="str">
        <f>IF($B60="","",IFERROR($G60*IFERROR(INDEX(Parâmetros!$C$5:$C$10,MATCH($C60,Parâmetros!$B$5:$B$10,0)),"")/Parâmetros!$C$13,""))</f>
        <v/>
      </c>
      <c r="J60" s="53" t="str">
        <f>IF($B60="","",IFERROR($E60*IFERROR(INDEX(Parâmetros!$E$5:$E$10,MATCH($C60,Parâmetros!$B$5:$B$10,0)),"")-$I60,""))</f>
        <v/>
      </c>
      <c r="K60" s="54" t="str">
        <f>IF($B60="","",IF(NOT(ISNUMBER($J60)),"",IF($J60&lt;=0,"OK - frota cobre a meta do dia",IF($J60&lt;=Parâmetros!$C$15,"ATENCAO - faltam "&amp;TEXT($J60,"0")&amp;" viagem(ns) de frota","CRITICO - faltam "&amp;TEXT($J60,"0")&amp;" viagens: acionar plano"))))</f>
        <v/>
      </c>
      <c r="L60" s="51"/>
      <c r="M60" s="51"/>
      <c r="N60" s="51"/>
      <c r="O60" s="50"/>
      <c r="P60" s="51"/>
      <c r="Q60" s="51"/>
      <c r="R60" s="55"/>
      <c r="S60" s="56"/>
      <c r="T60" s="56"/>
      <c r="U60" s="56"/>
      <c r="V60" s="19"/>
      <c r="W60" s="51"/>
      <c r="X60" s="57" t="str">
        <f t="shared" si="0"/>
        <v/>
      </c>
      <c r="Y60" s="57" t="str">
        <f t="shared" si="1"/>
        <v/>
      </c>
      <c r="Z60" s="57" t="str">
        <f t="shared" si="2"/>
        <v/>
      </c>
      <c r="AA60" s="58" t="str">
        <f t="shared" si="3"/>
        <v/>
      </c>
      <c r="AB60" s="58" t="str">
        <f t="shared" si="4"/>
        <v/>
      </c>
      <c r="AC60" s="57" t="str">
        <f t="shared" si="5"/>
        <v/>
      </c>
      <c r="AD60" s="59" t="str">
        <f t="shared" si="6"/>
        <v/>
      </c>
      <c r="AE60" s="54" t="str">
        <f>IF($B60="","",IF(NOT(ISNUMBER($AA60)),"Aguardando fechamento",IF($P60&gt;0,"ACAO: "&amp;TEXT($P60,"0")&amp;" carga(s) terceirizada(s) de forma evitavel",IF(IF(ISNUMBER($Z60),$Z60,0)&gt;IFERROR(INDEX(Parâmetros!$G$5:$G$10,MATCH($C60,Parâmetros!$B$5:$B$10,0)),""),"ALERTA: terceiros acima da meta",IF($AA60&gt;IFERROR(INDEX(Parâmetros!$D$5:$D$10,MATCH($C60,Parâmetros!$B$5:$B$10,0)),""),"ALERTA: custo/km acima da meta","OK - dentro das metas")))))</f>
        <v/>
      </c>
    </row>
    <row r="61" spans="2:31" ht="15" customHeight="1" x14ac:dyDescent="0.3">
      <c r="B61" s="48"/>
      <c r="C61" s="49"/>
      <c r="D61" s="50"/>
      <c r="E61" s="51"/>
      <c r="F61" s="52"/>
      <c r="G61" s="51"/>
      <c r="H61" s="51"/>
      <c r="I61" s="53" t="str">
        <f>IF($B61="","",IFERROR($G61*IFERROR(INDEX(Parâmetros!$C$5:$C$10,MATCH($C61,Parâmetros!$B$5:$B$10,0)),"")/Parâmetros!$C$13,""))</f>
        <v/>
      </c>
      <c r="J61" s="53" t="str">
        <f>IF($B61="","",IFERROR($E61*IFERROR(INDEX(Parâmetros!$E$5:$E$10,MATCH($C61,Parâmetros!$B$5:$B$10,0)),"")-$I61,""))</f>
        <v/>
      </c>
      <c r="K61" s="54" t="str">
        <f>IF($B61="","",IF(NOT(ISNUMBER($J61)),"",IF($J61&lt;=0,"OK - frota cobre a meta do dia",IF($J61&lt;=Parâmetros!$C$15,"ATENCAO - faltam "&amp;TEXT($J61,"0")&amp;" viagem(ns) de frota","CRITICO - faltam "&amp;TEXT($J61,"0")&amp;" viagens: acionar plano"))))</f>
        <v/>
      </c>
      <c r="L61" s="51"/>
      <c r="M61" s="51"/>
      <c r="N61" s="51"/>
      <c r="O61" s="50"/>
      <c r="P61" s="51"/>
      <c r="Q61" s="51"/>
      <c r="R61" s="55"/>
      <c r="S61" s="56"/>
      <c r="T61" s="56"/>
      <c r="U61" s="56"/>
      <c r="V61" s="19"/>
      <c r="W61" s="51"/>
      <c r="X61" s="57" t="str">
        <f t="shared" si="0"/>
        <v/>
      </c>
      <c r="Y61" s="57" t="str">
        <f t="shared" si="1"/>
        <v/>
      </c>
      <c r="Z61" s="57" t="str">
        <f t="shared" si="2"/>
        <v/>
      </c>
      <c r="AA61" s="58" t="str">
        <f t="shared" si="3"/>
        <v/>
      </c>
      <c r="AB61" s="58" t="str">
        <f t="shared" si="4"/>
        <v/>
      </c>
      <c r="AC61" s="57" t="str">
        <f t="shared" si="5"/>
        <v/>
      </c>
      <c r="AD61" s="59" t="str">
        <f t="shared" si="6"/>
        <v/>
      </c>
      <c r="AE61" s="54" t="str">
        <f>IF($B61="","",IF(NOT(ISNUMBER($AA61)),"Aguardando fechamento",IF($P61&gt;0,"ACAO: "&amp;TEXT($P61,"0")&amp;" carga(s) terceirizada(s) de forma evitavel",IF(IF(ISNUMBER($Z61),$Z61,0)&gt;IFERROR(INDEX(Parâmetros!$G$5:$G$10,MATCH($C61,Parâmetros!$B$5:$B$10,0)),""),"ALERTA: terceiros acima da meta",IF($AA61&gt;IFERROR(INDEX(Parâmetros!$D$5:$D$10,MATCH($C61,Parâmetros!$B$5:$B$10,0)),""),"ALERTA: custo/km acima da meta","OK - dentro das metas")))))</f>
        <v/>
      </c>
    </row>
    <row r="62" spans="2:31" ht="15" customHeight="1" x14ac:dyDescent="0.3">
      <c r="B62" s="48"/>
      <c r="C62" s="49"/>
      <c r="D62" s="50"/>
      <c r="E62" s="51"/>
      <c r="F62" s="52"/>
      <c r="G62" s="51"/>
      <c r="H62" s="51"/>
      <c r="I62" s="53" t="str">
        <f>IF($B62="","",IFERROR($G62*IFERROR(INDEX(Parâmetros!$C$5:$C$10,MATCH($C62,Parâmetros!$B$5:$B$10,0)),"")/Parâmetros!$C$13,""))</f>
        <v/>
      </c>
      <c r="J62" s="53" t="str">
        <f>IF($B62="","",IFERROR($E62*IFERROR(INDEX(Parâmetros!$E$5:$E$10,MATCH($C62,Parâmetros!$B$5:$B$10,0)),"")-$I62,""))</f>
        <v/>
      </c>
      <c r="K62" s="54" t="str">
        <f>IF($B62="","",IF(NOT(ISNUMBER($J62)),"",IF($J62&lt;=0,"OK - frota cobre a meta do dia",IF($J62&lt;=Parâmetros!$C$15,"ATENCAO - faltam "&amp;TEXT($J62,"0")&amp;" viagem(ns) de frota","CRITICO - faltam "&amp;TEXT($J62,"0")&amp;" viagens: acionar plano"))))</f>
        <v/>
      </c>
      <c r="L62" s="51"/>
      <c r="M62" s="51"/>
      <c r="N62" s="51"/>
      <c r="O62" s="50"/>
      <c r="P62" s="51"/>
      <c r="Q62" s="51"/>
      <c r="R62" s="55"/>
      <c r="S62" s="56"/>
      <c r="T62" s="56"/>
      <c r="U62" s="56"/>
      <c r="V62" s="19"/>
      <c r="W62" s="51"/>
      <c r="X62" s="57" t="str">
        <f t="shared" si="0"/>
        <v/>
      </c>
      <c r="Y62" s="57" t="str">
        <f t="shared" si="1"/>
        <v/>
      </c>
      <c r="Z62" s="57" t="str">
        <f t="shared" si="2"/>
        <v/>
      </c>
      <c r="AA62" s="58" t="str">
        <f t="shared" si="3"/>
        <v/>
      </c>
      <c r="AB62" s="58" t="str">
        <f t="shared" si="4"/>
        <v/>
      </c>
      <c r="AC62" s="57" t="str">
        <f t="shared" si="5"/>
        <v/>
      </c>
      <c r="AD62" s="59" t="str">
        <f t="shared" si="6"/>
        <v/>
      </c>
      <c r="AE62" s="54" t="str">
        <f>IF($B62="","",IF(NOT(ISNUMBER($AA62)),"Aguardando fechamento",IF($P62&gt;0,"ACAO: "&amp;TEXT($P62,"0")&amp;" carga(s) terceirizada(s) de forma evitavel",IF(IF(ISNUMBER($Z62),$Z62,0)&gt;IFERROR(INDEX(Parâmetros!$G$5:$G$10,MATCH($C62,Parâmetros!$B$5:$B$10,0)),""),"ALERTA: terceiros acima da meta",IF($AA62&gt;IFERROR(INDEX(Parâmetros!$D$5:$D$10,MATCH($C62,Parâmetros!$B$5:$B$10,0)),""),"ALERTA: custo/km acima da meta","OK - dentro das metas")))))</f>
        <v/>
      </c>
    </row>
    <row r="63" spans="2:31" ht="15" customHeight="1" x14ac:dyDescent="0.3">
      <c r="B63" s="48"/>
      <c r="C63" s="49"/>
      <c r="D63" s="50"/>
      <c r="E63" s="51"/>
      <c r="F63" s="52"/>
      <c r="G63" s="51"/>
      <c r="H63" s="51"/>
      <c r="I63" s="53" t="str">
        <f>IF($B63="","",IFERROR($G63*IFERROR(INDEX(Parâmetros!$C$5:$C$10,MATCH($C63,Parâmetros!$B$5:$B$10,0)),"")/Parâmetros!$C$13,""))</f>
        <v/>
      </c>
      <c r="J63" s="53" t="str">
        <f>IF($B63="","",IFERROR($E63*IFERROR(INDEX(Parâmetros!$E$5:$E$10,MATCH($C63,Parâmetros!$B$5:$B$10,0)),"")-$I63,""))</f>
        <v/>
      </c>
      <c r="K63" s="54" t="str">
        <f>IF($B63="","",IF(NOT(ISNUMBER($J63)),"",IF($J63&lt;=0,"OK - frota cobre a meta do dia",IF($J63&lt;=Parâmetros!$C$15,"ATENCAO - faltam "&amp;TEXT($J63,"0")&amp;" viagem(ns) de frota","CRITICO - faltam "&amp;TEXT($J63,"0")&amp;" viagens: acionar plano"))))</f>
        <v/>
      </c>
      <c r="L63" s="51"/>
      <c r="M63" s="51"/>
      <c r="N63" s="51"/>
      <c r="O63" s="50"/>
      <c r="P63" s="51"/>
      <c r="Q63" s="51"/>
      <c r="R63" s="55"/>
      <c r="S63" s="56"/>
      <c r="T63" s="56"/>
      <c r="U63" s="56"/>
      <c r="V63" s="19"/>
      <c r="W63" s="51"/>
      <c r="X63" s="57" t="str">
        <f t="shared" si="0"/>
        <v/>
      </c>
      <c r="Y63" s="57" t="str">
        <f t="shared" si="1"/>
        <v/>
      </c>
      <c r="Z63" s="57" t="str">
        <f t="shared" si="2"/>
        <v/>
      </c>
      <c r="AA63" s="58" t="str">
        <f t="shared" si="3"/>
        <v/>
      </c>
      <c r="AB63" s="58" t="str">
        <f t="shared" si="4"/>
        <v/>
      </c>
      <c r="AC63" s="57" t="str">
        <f t="shared" si="5"/>
        <v/>
      </c>
      <c r="AD63" s="59" t="str">
        <f t="shared" si="6"/>
        <v/>
      </c>
      <c r="AE63" s="54" t="str">
        <f>IF($B63="","",IF(NOT(ISNUMBER($AA63)),"Aguardando fechamento",IF($P63&gt;0,"ACAO: "&amp;TEXT($P63,"0")&amp;" carga(s) terceirizada(s) de forma evitavel",IF(IF(ISNUMBER($Z63),$Z63,0)&gt;IFERROR(INDEX(Parâmetros!$G$5:$G$10,MATCH($C63,Parâmetros!$B$5:$B$10,0)),""),"ALERTA: terceiros acima da meta",IF($AA63&gt;IFERROR(INDEX(Parâmetros!$D$5:$D$10,MATCH($C63,Parâmetros!$B$5:$B$10,0)),""),"ALERTA: custo/km acima da meta","OK - dentro das metas")))))</f>
        <v/>
      </c>
    </row>
    <row r="64" spans="2:31" ht="15" customHeight="1" x14ac:dyDescent="0.3">
      <c r="B64" s="48"/>
      <c r="C64" s="49"/>
      <c r="D64" s="50"/>
      <c r="E64" s="51"/>
      <c r="F64" s="52"/>
      <c r="G64" s="51"/>
      <c r="H64" s="51"/>
      <c r="I64" s="53" t="str">
        <f>IF($B64="","",IFERROR($G64*IFERROR(INDEX(Parâmetros!$C$5:$C$10,MATCH($C64,Parâmetros!$B$5:$B$10,0)),"")/Parâmetros!$C$13,""))</f>
        <v/>
      </c>
      <c r="J64" s="53" t="str">
        <f>IF($B64="","",IFERROR($E64*IFERROR(INDEX(Parâmetros!$E$5:$E$10,MATCH($C64,Parâmetros!$B$5:$B$10,0)),"")-$I64,""))</f>
        <v/>
      </c>
      <c r="K64" s="54" t="str">
        <f>IF($B64="","",IF(NOT(ISNUMBER($J64)),"",IF($J64&lt;=0,"OK - frota cobre a meta do dia",IF($J64&lt;=Parâmetros!$C$15,"ATENCAO - faltam "&amp;TEXT($J64,"0")&amp;" viagem(ns) de frota","CRITICO - faltam "&amp;TEXT($J64,"0")&amp;" viagens: acionar plano"))))</f>
        <v/>
      </c>
      <c r="L64" s="51"/>
      <c r="M64" s="51"/>
      <c r="N64" s="51"/>
      <c r="O64" s="50"/>
      <c r="P64" s="51"/>
      <c r="Q64" s="51"/>
      <c r="R64" s="55"/>
      <c r="S64" s="56"/>
      <c r="T64" s="56"/>
      <c r="U64" s="56"/>
      <c r="V64" s="19"/>
      <c r="W64" s="51"/>
      <c r="X64" s="57" t="str">
        <f t="shared" si="0"/>
        <v/>
      </c>
      <c r="Y64" s="57" t="str">
        <f t="shared" si="1"/>
        <v/>
      </c>
      <c r="Z64" s="57" t="str">
        <f t="shared" si="2"/>
        <v/>
      </c>
      <c r="AA64" s="58" t="str">
        <f t="shared" si="3"/>
        <v/>
      </c>
      <c r="AB64" s="58" t="str">
        <f t="shared" si="4"/>
        <v/>
      </c>
      <c r="AC64" s="57" t="str">
        <f t="shared" si="5"/>
        <v/>
      </c>
      <c r="AD64" s="59" t="str">
        <f t="shared" si="6"/>
        <v/>
      </c>
      <c r="AE64" s="54" t="str">
        <f>IF($B64="","",IF(NOT(ISNUMBER($AA64)),"Aguardando fechamento",IF($P64&gt;0,"ACAO: "&amp;TEXT($P64,"0")&amp;" carga(s) terceirizada(s) de forma evitavel",IF(IF(ISNUMBER($Z64),$Z64,0)&gt;IFERROR(INDEX(Parâmetros!$G$5:$G$10,MATCH($C64,Parâmetros!$B$5:$B$10,0)),""),"ALERTA: terceiros acima da meta",IF($AA64&gt;IFERROR(INDEX(Parâmetros!$D$5:$D$10,MATCH($C64,Parâmetros!$B$5:$B$10,0)),""),"ALERTA: custo/km acima da meta","OK - dentro das metas")))))</f>
        <v/>
      </c>
    </row>
    <row r="65" spans="2:31" ht="15" customHeight="1" x14ac:dyDescent="0.3">
      <c r="B65" s="48"/>
      <c r="C65" s="49"/>
      <c r="D65" s="50"/>
      <c r="E65" s="51"/>
      <c r="F65" s="52"/>
      <c r="G65" s="51"/>
      <c r="H65" s="51"/>
      <c r="I65" s="53" t="str">
        <f>IF($B65="","",IFERROR($G65*IFERROR(INDEX(Parâmetros!$C$5:$C$10,MATCH($C65,Parâmetros!$B$5:$B$10,0)),"")/Parâmetros!$C$13,""))</f>
        <v/>
      </c>
      <c r="J65" s="53" t="str">
        <f>IF($B65="","",IFERROR($E65*IFERROR(INDEX(Parâmetros!$E$5:$E$10,MATCH($C65,Parâmetros!$B$5:$B$10,0)),"")-$I65,""))</f>
        <v/>
      </c>
      <c r="K65" s="54" t="str">
        <f>IF($B65="","",IF(NOT(ISNUMBER($J65)),"",IF($J65&lt;=0,"OK - frota cobre a meta do dia",IF($J65&lt;=Parâmetros!$C$15,"ATENCAO - faltam "&amp;TEXT($J65,"0")&amp;" viagem(ns) de frota","CRITICO - faltam "&amp;TEXT($J65,"0")&amp;" viagens: acionar plano"))))</f>
        <v/>
      </c>
      <c r="L65" s="51"/>
      <c r="M65" s="51"/>
      <c r="N65" s="51"/>
      <c r="O65" s="50"/>
      <c r="P65" s="51"/>
      <c r="Q65" s="51"/>
      <c r="R65" s="55"/>
      <c r="S65" s="56"/>
      <c r="T65" s="56"/>
      <c r="U65" s="56"/>
      <c r="V65" s="19"/>
      <c r="W65" s="51"/>
      <c r="X65" s="57" t="str">
        <f t="shared" si="0"/>
        <v/>
      </c>
      <c r="Y65" s="57" t="str">
        <f t="shared" si="1"/>
        <v/>
      </c>
      <c r="Z65" s="57" t="str">
        <f t="shared" si="2"/>
        <v/>
      </c>
      <c r="AA65" s="58" t="str">
        <f t="shared" si="3"/>
        <v/>
      </c>
      <c r="AB65" s="58" t="str">
        <f t="shared" si="4"/>
        <v/>
      </c>
      <c r="AC65" s="57" t="str">
        <f t="shared" si="5"/>
        <v/>
      </c>
      <c r="AD65" s="59" t="str">
        <f t="shared" si="6"/>
        <v/>
      </c>
      <c r="AE65" s="54" t="str">
        <f>IF($B65="","",IF(NOT(ISNUMBER($AA65)),"Aguardando fechamento",IF($P65&gt;0,"ACAO: "&amp;TEXT($P65,"0")&amp;" carga(s) terceirizada(s) de forma evitavel",IF(IF(ISNUMBER($Z65),$Z65,0)&gt;IFERROR(INDEX(Parâmetros!$G$5:$G$10,MATCH($C65,Parâmetros!$B$5:$B$10,0)),""),"ALERTA: terceiros acima da meta",IF($AA65&gt;IFERROR(INDEX(Parâmetros!$D$5:$D$10,MATCH($C65,Parâmetros!$B$5:$B$10,0)),""),"ALERTA: custo/km acima da meta","OK - dentro das metas")))))</f>
        <v/>
      </c>
    </row>
    <row r="66" spans="2:31" ht="15" customHeight="1" x14ac:dyDescent="0.3">
      <c r="B66" s="48"/>
      <c r="C66" s="49"/>
      <c r="D66" s="50"/>
      <c r="E66" s="51"/>
      <c r="F66" s="52"/>
      <c r="G66" s="51"/>
      <c r="H66" s="51"/>
      <c r="I66" s="53" t="str">
        <f>IF($B66="","",IFERROR($G66*IFERROR(INDEX(Parâmetros!$C$5:$C$10,MATCH($C66,Parâmetros!$B$5:$B$10,0)),"")/Parâmetros!$C$13,""))</f>
        <v/>
      </c>
      <c r="J66" s="53" t="str">
        <f>IF($B66="","",IFERROR($E66*IFERROR(INDEX(Parâmetros!$E$5:$E$10,MATCH($C66,Parâmetros!$B$5:$B$10,0)),"")-$I66,""))</f>
        <v/>
      </c>
      <c r="K66" s="54" t="str">
        <f>IF($B66="","",IF(NOT(ISNUMBER($J66)),"",IF($J66&lt;=0,"OK - frota cobre a meta do dia",IF($J66&lt;=Parâmetros!$C$15,"ATENCAO - faltam "&amp;TEXT($J66,"0")&amp;" viagem(ns) de frota","CRITICO - faltam "&amp;TEXT($J66,"0")&amp;" viagens: acionar plano"))))</f>
        <v/>
      </c>
      <c r="L66" s="51"/>
      <c r="M66" s="51"/>
      <c r="N66" s="51"/>
      <c r="O66" s="50"/>
      <c r="P66" s="51"/>
      <c r="Q66" s="51"/>
      <c r="R66" s="55"/>
      <c r="S66" s="56"/>
      <c r="T66" s="56"/>
      <c r="U66" s="56"/>
      <c r="V66" s="19"/>
      <c r="W66" s="51"/>
      <c r="X66" s="57" t="str">
        <f t="shared" si="0"/>
        <v/>
      </c>
      <c r="Y66" s="57" t="str">
        <f t="shared" si="1"/>
        <v/>
      </c>
      <c r="Z66" s="57" t="str">
        <f t="shared" si="2"/>
        <v/>
      </c>
      <c r="AA66" s="58" t="str">
        <f t="shared" si="3"/>
        <v/>
      </c>
      <c r="AB66" s="58" t="str">
        <f t="shared" si="4"/>
        <v/>
      </c>
      <c r="AC66" s="57" t="str">
        <f t="shared" si="5"/>
        <v/>
      </c>
      <c r="AD66" s="59" t="str">
        <f t="shared" si="6"/>
        <v/>
      </c>
      <c r="AE66" s="54" t="str">
        <f>IF($B66="","",IF(NOT(ISNUMBER($AA66)),"Aguardando fechamento",IF($P66&gt;0,"ACAO: "&amp;TEXT($P66,"0")&amp;" carga(s) terceirizada(s) de forma evitavel",IF(IF(ISNUMBER($Z66),$Z66,0)&gt;IFERROR(INDEX(Parâmetros!$G$5:$G$10,MATCH($C66,Parâmetros!$B$5:$B$10,0)),""),"ALERTA: terceiros acima da meta",IF($AA66&gt;IFERROR(INDEX(Parâmetros!$D$5:$D$10,MATCH($C66,Parâmetros!$B$5:$B$10,0)),""),"ALERTA: custo/km acima da meta","OK - dentro das metas")))))</f>
        <v/>
      </c>
    </row>
    <row r="67" spans="2:31" ht="15" customHeight="1" x14ac:dyDescent="0.3">
      <c r="B67" s="48"/>
      <c r="C67" s="49"/>
      <c r="D67" s="50"/>
      <c r="E67" s="51"/>
      <c r="F67" s="52"/>
      <c r="G67" s="51"/>
      <c r="H67" s="51"/>
      <c r="I67" s="53" t="str">
        <f>IF($B67="","",IFERROR($G67*IFERROR(INDEX(Parâmetros!$C$5:$C$10,MATCH($C67,Parâmetros!$B$5:$B$10,0)),"")/Parâmetros!$C$13,""))</f>
        <v/>
      </c>
      <c r="J67" s="53" t="str">
        <f>IF($B67="","",IFERROR($E67*IFERROR(INDEX(Parâmetros!$E$5:$E$10,MATCH($C67,Parâmetros!$B$5:$B$10,0)),"")-$I67,""))</f>
        <v/>
      </c>
      <c r="K67" s="54" t="str">
        <f>IF($B67="","",IF(NOT(ISNUMBER($J67)),"",IF($J67&lt;=0,"OK - frota cobre a meta do dia",IF($J67&lt;=Parâmetros!$C$15,"ATENCAO - faltam "&amp;TEXT($J67,"0")&amp;" viagem(ns) de frota","CRITICO - faltam "&amp;TEXT($J67,"0")&amp;" viagens: acionar plano"))))</f>
        <v/>
      </c>
      <c r="L67" s="51"/>
      <c r="M67" s="51"/>
      <c r="N67" s="51"/>
      <c r="O67" s="50"/>
      <c r="P67" s="51"/>
      <c r="Q67" s="51"/>
      <c r="R67" s="55"/>
      <c r="S67" s="56"/>
      <c r="T67" s="56"/>
      <c r="U67" s="56"/>
      <c r="V67" s="19"/>
      <c r="W67" s="51"/>
      <c r="X67" s="57" t="str">
        <f t="shared" si="0"/>
        <v/>
      </c>
      <c r="Y67" s="57" t="str">
        <f t="shared" si="1"/>
        <v/>
      </c>
      <c r="Z67" s="57" t="str">
        <f t="shared" si="2"/>
        <v/>
      </c>
      <c r="AA67" s="58" t="str">
        <f t="shared" si="3"/>
        <v/>
      </c>
      <c r="AB67" s="58" t="str">
        <f t="shared" si="4"/>
        <v/>
      </c>
      <c r="AC67" s="57" t="str">
        <f t="shared" si="5"/>
        <v/>
      </c>
      <c r="AD67" s="59" t="str">
        <f t="shared" si="6"/>
        <v/>
      </c>
      <c r="AE67" s="54" t="str">
        <f>IF($B67="","",IF(NOT(ISNUMBER($AA67)),"Aguardando fechamento",IF($P67&gt;0,"ACAO: "&amp;TEXT($P67,"0")&amp;" carga(s) terceirizada(s) de forma evitavel",IF(IF(ISNUMBER($Z67),$Z67,0)&gt;IFERROR(INDEX(Parâmetros!$G$5:$G$10,MATCH($C67,Parâmetros!$B$5:$B$10,0)),""),"ALERTA: terceiros acima da meta",IF($AA67&gt;IFERROR(INDEX(Parâmetros!$D$5:$D$10,MATCH($C67,Parâmetros!$B$5:$B$10,0)),""),"ALERTA: custo/km acima da meta","OK - dentro das metas")))))</f>
        <v/>
      </c>
    </row>
    <row r="68" spans="2:31" ht="15" customHeight="1" x14ac:dyDescent="0.3">
      <c r="B68" s="48"/>
      <c r="C68" s="49"/>
      <c r="D68" s="50"/>
      <c r="E68" s="51"/>
      <c r="F68" s="52"/>
      <c r="G68" s="51"/>
      <c r="H68" s="51"/>
      <c r="I68" s="53" t="str">
        <f>IF($B68="","",IFERROR($G68*IFERROR(INDEX(Parâmetros!$C$5:$C$10,MATCH($C68,Parâmetros!$B$5:$B$10,0)),"")/Parâmetros!$C$13,""))</f>
        <v/>
      </c>
      <c r="J68" s="53" t="str">
        <f>IF($B68="","",IFERROR($E68*IFERROR(INDEX(Parâmetros!$E$5:$E$10,MATCH($C68,Parâmetros!$B$5:$B$10,0)),"")-$I68,""))</f>
        <v/>
      </c>
      <c r="K68" s="54" t="str">
        <f>IF($B68="","",IF(NOT(ISNUMBER($J68)),"",IF($J68&lt;=0,"OK - frota cobre a meta do dia",IF($J68&lt;=Parâmetros!$C$15,"ATENCAO - faltam "&amp;TEXT($J68,"0")&amp;" viagem(ns) de frota","CRITICO - faltam "&amp;TEXT($J68,"0")&amp;" viagens: acionar plano"))))</f>
        <v/>
      </c>
      <c r="L68" s="51"/>
      <c r="M68" s="51"/>
      <c r="N68" s="51"/>
      <c r="O68" s="50"/>
      <c r="P68" s="51"/>
      <c r="Q68" s="51"/>
      <c r="R68" s="55"/>
      <c r="S68" s="56"/>
      <c r="T68" s="56"/>
      <c r="U68" s="56"/>
      <c r="V68" s="19"/>
      <c r="W68" s="51"/>
      <c r="X68" s="57" t="str">
        <f t="shared" si="0"/>
        <v/>
      </c>
      <c r="Y68" s="57" t="str">
        <f t="shared" si="1"/>
        <v/>
      </c>
      <c r="Z68" s="57" t="str">
        <f t="shared" si="2"/>
        <v/>
      </c>
      <c r="AA68" s="58" t="str">
        <f t="shared" si="3"/>
        <v/>
      </c>
      <c r="AB68" s="58" t="str">
        <f t="shared" si="4"/>
        <v/>
      </c>
      <c r="AC68" s="57" t="str">
        <f t="shared" si="5"/>
        <v/>
      </c>
      <c r="AD68" s="59" t="str">
        <f t="shared" si="6"/>
        <v/>
      </c>
      <c r="AE68" s="54" t="str">
        <f>IF($B68="","",IF(NOT(ISNUMBER($AA68)),"Aguardando fechamento",IF($P68&gt;0,"ACAO: "&amp;TEXT($P68,"0")&amp;" carga(s) terceirizada(s) de forma evitavel",IF(IF(ISNUMBER($Z68),$Z68,0)&gt;IFERROR(INDEX(Parâmetros!$G$5:$G$10,MATCH($C68,Parâmetros!$B$5:$B$10,0)),""),"ALERTA: terceiros acima da meta",IF($AA68&gt;IFERROR(INDEX(Parâmetros!$D$5:$D$10,MATCH($C68,Parâmetros!$B$5:$B$10,0)),""),"ALERTA: custo/km acima da meta","OK - dentro das metas")))))</f>
        <v/>
      </c>
    </row>
    <row r="69" spans="2:31" ht="15" customHeight="1" x14ac:dyDescent="0.3">
      <c r="B69" s="48"/>
      <c r="C69" s="49"/>
      <c r="D69" s="50"/>
      <c r="E69" s="51"/>
      <c r="F69" s="52"/>
      <c r="G69" s="51"/>
      <c r="H69" s="51"/>
      <c r="I69" s="53" t="str">
        <f>IF($B69="","",IFERROR($G69*IFERROR(INDEX(Parâmetros!$C$5:$C$10,MATCH($C69,Parâmetros!$B$5:$B$10,0)),"")/Parâmetros!$C$13,""))</f>
        <v/>
      </c>
      <c r="J69" s="53" t="str">
        <f>IF($B69="","",IFERROR($E69*IFERROR(INDEX(Parâmetros!$E$5:$E$10,MATCH($C69,Parâmetros!$B$5:$B$10,0)),"")-$I69,""))</f>
        <v/>
      </c>
      <c r="K69" s="54" t="str">
        <f>IF($B69="","",IF(NOT(ISNUMBER($J69)),"",IF($J69&lt;=0,"OK - frota cobre a meta do dia",IF($J69&lt;=Parâmetros!$C$15,"ATENCAO - faltam "&amp;TEXT($J69,"0")&amp;" viagem(ns) de frota","CRITICO - faltam "&amp;TEXT($J69,"0")&amp;" viagens: acionar plano"))))</f>
        <v/>
      </c>
      <c r="L69" s="51"/>
      <c r="M69" s="51"/>
      <c r="N69" s="51"/>
      <c r="O69" s="50"/>
      <c r="P69" s="51"/>
      <c r="Q69" s="51"/>
      <c r="R69" s="55"/>
      <c r="S69" s="56"/>
      <c r="T69" s="56"/>
      <c r="U69" s="56"/>
      <c r="V69" s="19"/>
      <c r="W69" s="51"/>
      <c r="X69" s="57" t="str">
        <f t="shared" si="0"/>
        <v/>
      </c>
      <c r="Y69" s="57" t="str">
        <f t="shared" si="1"/>
        <v/>
      </c>
      <c r="Z69" s="57" t="str">
        <f t="shared" si="2"/>
        <v/>
      </c>
      <c r="AA69" s="58" t="str">
        <f t="shared" si="3"/>
        <v/>
      </c>
      <c r="AB69" s="58" t="str">
        <f t="shared" si="4"/>
        <v/>
      </c>
      <c r="AC69" s="57" t="str">
        <f t="shared" si="5"/>
        <v/>
      </c>
      <c r="AD69" s="59" t="str">
        <f t="shared" si="6"/>
        <v/>
      </c>
      <c r="AE69" s="54" t="str">
        <f>IF($B69="","",IF(NOT(ISNUMBER($AA69)),"Aguardando fechamento",IF($P69&gt;0,"ACAO: "&amp;TEXT($P69,"0")&amp;" carga(s) terceirizada(s) de forma evitavel",IF(IF(ISNUMBER($Z69),$Z69,0)&gt;IFERROR(INDEX(Parâmetros!$G$5:$G$10,MATCH($C69,Parâmetros!$B$5:$B$10,0)),""),"ALERTA: terceiros acima da meta",IF($AA69&gt;IFERROR(INDEX(Parâmetros!$D$5:$D$10,MATCH($C69,Parâmetros!$B$5:$B$10,0)),""),"ALERTA: custo/km acima da meta","OK - dentro das metas")))))</f>
        <v/>
      </c>
    </row>
    <row r="70" spans="2:31" ht="15" customHeight="1" x14ac:dyDescent="0.3">
      <c r="B70" s="48"/>
      <c r="C70" s="49"/>
      <c r="D70" s="50"/>
      <c r="E70" s="51"/>
      <c r="F70" s="52"/>
      <c r="G70" s="51"/>
      <c r="H70" s="51"/>
      <c r="I70" s="53" t="str">
        <f>IF($B70="","",IFERROR($G70*IFERROR(INDEX(Parâmetros!$C$5:$C$10,MATCH($C70,Parâmetros!$B$5:$B$10,0)),"")/Parâmetros!$C$13,""))</f>
        <v/>
      </c>
      <c r="J70" s="53" t="str">
        <f>IF($B70="","",IFERROR($E70*IFERROR(INDEX(Parâmetros!$E$5:$E$10,MATCH($C70,Parâmetros!$B$5:$B$10,0)),"")-$I70,""))</f>
        <v/>
      </c>
      <c r="K70" s="54" t="str">
        <f>IF($B70="","",IF(NOT(ISNUMBER($J70)),"",IF($J70&lt;=0,"OK - frota cobre a meta do dia",IF($J70&lt;=Parâmetros!$C$15,"ATENCAO - faltam "&amp;TEXT($J70,"0")&amp;" viagem(ns) de frota","CRITICO - faltam "&amp;TEXT($J70,"0")&amp;" viagens: acionar plano"))))</f>
        <v/>
      </c>
      <c r="L70" s="51"/>
      <c r="M70" s="51"/>
      <c r="N70" s="51"/>
      <c r="O70" s="50"/>
      <c r="P70" s="51"/>
      <c r="Q70" s="51"/>
      <c r="R70" s="55"/>
      <c r="S70" s="56"/>
      <c r="T70" s="56"/>
      <c r="U70" s="56"/>
      <c r="V70" s="19"/>
      <c r="W70" s="51"/>
      <c r="X70" s="57" t="str">
        <f t="shared" ref="X70:X133" si="7">IF($B70="","",IFERROR($L70/($L70+$M70+$N70),""))</f>
        <v/>
      </c>
      <c r="Y70" s="57" t="str">
        <f t="shared" ref="Y70:Y133" si="8">IF($B70="","",IFERROR($M70/($L70+$M70+$N70),""))</f>
        <v/>
      </c>
      <c r="Z70" s="57" t="str">
        <f t="shared" ref="Z70:Z133" si="9">IF($B70="","",IFERROR($N70/($L70+$M70+$N70),""))</f>
        <v/>
      </c>
      <c r="AA70" s="58" t="str">
        <f t="shared" ref="AA70:AA133" si="10">IF($B70="","",IFERROR($S70/$R70,""))</f>
        <v/>
      </c>
      <c r="AB70" s="58" t="str">
        <f t="shared" ref="AB70:AB133" si="11">IF($B70="","",IFERROR($Q70/$G70,""))</f>
        <v/>
      </c>
      <c r="AC70" s="57" t="str">
        <f t="shared" ref="AC70:AC133" si="12">IF($B70="","",IFERROR($T70/$U70,""))</f>
        <v/>
      </c>
      <c r="AD70" s="59" t="str">
        <f t="shared" ref="AD70:AD133" si="13">IF($B70="","",IFERROR(IF(AND($N70&gt;0,$L70&gt;0),$P70*(($T70/$N70)-($S70/$L70)),0),0))</f>
        <v/>
      </c>
      <c r="AE70" s="54" t="str">
        <f>IF($B70="","",IF(NOT(ISNUMBER($AA70)),"Aguardando fechamento",IF($P70&gt;0,"ACAO: "&amp;TEXT($P70,"0")&amp;" carga(s) terceirizada(s) de forma evitavel",IF(IF(ISNUMBER($Z70),$Z70,0)&gt;IFERROR(INDEX(Parâmetros!$G$5:$G$10,MATCH($C70,Parâmetros!$B$5:$B$10,0)),""),"ALERTA: terceiros acima da meta",IF($AA70&gt;IFERROR(INDEX(Parâmetros!$D$5:$D$10,MATCH($C70,Parâmetros!$B$5:$B$10,0)),""),"ALERTA: custo/km acima da meta","OK - dentro das metas")))))</f>
        <v/>
      </c>
    </row>
    <row r="71" spans="2:31" ht="15" customHeight="1" x14ac:dyDescent="0.3">
      <c r="B71" s="48"/>
      <c r="C71" s="49"/>
      <c r="D71" s="50"/>
      <c r="E71" s="51"/>
      <c r="F71" s="52"/>
      <c r="G71" s="51"/>
      <c r="H71" s="51"/>
      <c r="I71" s="53" t="str">
        <f>IF($B71="","",IFERROR($G71*IFERROR(INDEX(Parâmetros!$C$5:$C$10,MATCH($C71,Parâmetros!$B$5:$B$10,0)),"")/Parâmetros!$C$13,""))</f>
        <v/>
      </c>
      <c r="J71" s="53" t="str">
        <f>IF($B71="","",IFERROR($E71*IFERROR(INDEX(Parâmetros!$E$5:$E$10,MATCH($C71,Parâmetros!$B$5:$B$10,0)),"")-$I71,""))</f>
        <v/>
      </c>
      <c r="K71" s="54" t="str">
        <f>IF($B71="","",IF(NOT(ISNUMBER($J71)),"",IF($J71&lt;=0,"OK - frota cobre a meta do dia",IF($J71&lt;=Parâmetros!$C$15,"ATENCAO - faltam "&amp;TEXT($J71,"0")&amp;" viagem(ns) de frota","CRITICO - faltam "&amp;TEXT($J71,"0")&amp;" viagens: acionar plano"))))</f>
        <v/>
      </c>
      <c r="L71" s="51"/>
      <c r="M71" s="51"/>
      <c r="N71" s="51"/>
      <c r="O71" s="50"/>
      <c r="P71" s="51"/>
      <c r="Q71" s="51"/>
      <c r="R71" s="55"/>
      <c r="S71" s="56"/>
      <c r="T71" s="56"/>
      <c r="U71" s="56"/>
      <c r="V71" s="19"/>
      <c r="W71" s="51"/>
      <c r="X71" s="57" t="str">
        <f t="shared" si="7"/>
        <v/>
      </c>
      <c r="Y71" s="57" t="str">
        <f t="shared" si="8"/>
        <v/>
      </c>
      <c r="Z71" s="57" t="str">
        <f t="shared" si="9"/>
        <v/>
      </c>
      <c r="AA71" s="58" t="str">
        <f t="shared" si="10"/>
        <v/>
      </c>
      <c r="AB71" s="58" t="str">
        <f t="shared" si="11"/>
        <v/>
      </c>
      <c r="AC71" s="57" t="str">
        <f t="shared" si="12"/>
        <v/>
      </c>
      <c r="AD71" s="59" t="str">
        <f t="shared" si="13"/>
        <v/>
      </c>
      <c r="AE71" s="54" t="str">
        <f>IF($B71="","",IF(NOT(ISNUMBER($AA71)),"Aguardando fechamento",IF($P71&gt;0,"ACAO: "&amp;TEXT($P71,"0")&amp;" carga(s) terceirizada(s) de forma evitavel",IF(IF(ISNUMBER($Z71),$Z71,0)&gt;IFERROR(INDEX(Parâmetros!$G$5:$G$10,MATCH($C71,Parâmetros!$B$5:$B$10,0)),""),"ALERTA: terceiros acima da meta",IF($AA71&gt;IFERROR(INDEX(Parâmetros!$D$5:$D$10,MATCH($C71,Parâmetros!$B$5:$B$10,0)),""),"ALERTA: custo/km acima da meta","OK - dentro das metas")))))</f>
        <v/>
      </c>
    </row>
    <row r="72" spans="2:31" ht="15" customHeight="1" x14ac:dyDescent="0.3">
      <c r="B72" s="48"/>
      <c r="C72" s="49"/>
      <c r="D72" s="50"/>
      <c r="E72" s="51"/>
      <c r="F72" s="52"/>
      <c r="G72" s="51"/>
      <c r="H72" s="51"/>
      <c r="I72" s="53" t="str">
        <f>IF($B72="","",IFERROR($G72*IFERROR(INDEX(Parâmetros!$C$5:$C$10,MATCH($C72,Parâmetros!$B$5:$B$10,0)),"")/Parâmetros!$C$13,""))</f>
        <v/>
      </c>
      <c r="J72" s="53" t="str">
        <f>IF($B72="","",IFERROR($E72*IFERROR(INDEX(Parâmetros!$E$5:$E$10,MATCH($C72,Parâmetros!$B$5:$B$10,0)),"")-$I72,""))</f>
        <v/>
      </c>
      <c r="K72" s="54" t="str">
        <f>IF($B72="","",IF(NOT(ISNUMBER($J72)),"",IF($J72&lt;=0,"OK - frota cobre a meta do dia",IF($J72&lt;=Parâmetros!$C$15,"ATENCAO - faltam "&amp;TEXT($J72,"0")&amp;" viagem(ns) de frota","CRITICO - faltam "&amp;TEXT($J72,"0")&amp;" viagens: acionar plano"))))</f>
        <v/>
      </c>
      <c r="L72" s="51"/>
      <c r="M72" s="51"/>
      <c r="N72" s="51"/>
      <c r="O72" s="50"/>
      <c r="P72" s="51"/>
      <c r="Q72" s="51"/>
      <c r="R72" s="55"/>
      <c r="S72" s="56"/>
      <c r="T72" s="56"/>
      <c r="U72" s="56"/>
      <c r="V72" s="19"/>
      <c r="W72" s="51"/>
      <c r="X72" s="57" t="str">
        <f t="shared" si="7"/>
        <v/>
      </c>
      <c r="Y72" s="57" t="str">
        <f t="shared" si="8"/>
        <v/>
      </c>
      <c r="Z72" s="57" t="str">
        <f t="shared" si="9"/>
        <v/>
      </c>
      <c r="AA72" s="58" t="str">
        <f t="shared" si="10"/>
        <v/>
      </c>
      <c r="AB72" s="58" t="str">
        <f t="shared" si="11"/>
        <v/>
      </c>
      <c r="AC72" s="57" t="str">
        <f t="shared" si="12"/>
        <v/>
      </c>
      <c r="AD72" s="59" t="str">
        <f t="shared" si="13"/>
        <v/>
      </c>
      <c r="AE72" s="54" t="str">
        <f>IF($B72="","",IF(NOT(ISNUMBER($AA72)),"Aguardando fechamento",IF($P72&gt;0,"ACAO: "&amp;TEXT($P72,"0")&amp;" carga(s) terceirizada(s) de forma evitavel",IF(IF(ISNUMBER($Z72),$Z72,0)&gt;IFERROR(INDEX(Parâmetros!$G$5:$G$10,MATCH($C72,Parâmetros!$B$5:$B$10,0)),""),"ALERTA: terceiros acima da meta",IF($AA72&gt;IFERROR(INDEX(Parâmetros!$D$5:$D$10,MATCH($C72,Parâmetros!$B$5:$B$10,0)),""),"ALERTA: custo/km acima da meta","OK - dentro das metas")))))</f>
        <v/>
      </c>
    </row>
    <row r="73" spans="2:31" ht="15" customHeight="1" x14ac:dyDescent="0.3">
      <c r="B73" s="48"/>
      <c r="C73" s="49"/>
      <c r="D73" s="50"/>
      <c r="E73" s="51"/>
      <c r="F73" s="52"/>
      <c r="G73" s="51"/>
      <c r="H73" s="51"/>
      <c r="I73" s="53" t="str">
        <f>IF($B73="","",IFERROR($G73*IFERROR(INDEX(Parâmetros!$C$5:$C$10,MATCH($C73,Parâmetros!$B$5:$B$10,0)),"")/Parâmetros!$C$13,""))</f>
        <v/>
      </c>
      <c r="J73" s="53" t="str">
        <f>IF($B73="","",IFERROR($E73*IFERROR(INDEX(Parâmetros!$E$5:$E$10,MATCH($C73,Parâmetros!$B$5:$B$10,0)),"")-$I73,""))</f>
        <v/>
      </c>
      <c r="K73" s="54" t="str">
        <f>IF($B73="","",IF(NOT(ISNUMBER($J73)),"",IF($J73&lt;=0,"OK - frota cobre a meta do dia",IF($J73&lt;=Parâmetros!$C$15,"ATENCAO - faltam "&amp;TEXT($J73,"0")&amp;" viagem(ns) de frota","CRITICO - faltam "&amp;TEXT($J73,"0")&amp;" viagens: acionar plano"))))</f>
        <v/>
      </c>
      <c r="L73" s="51"/>
      <c r="M73" s="51"/>
      <c r="N73" s="51"/>
      <c r="O73" s="50"/>
      <c r="P73" s="51"/>
      <c r="Q73" s="51"/>
      <c r="R73" s="55"/>
      <c r="S73" s="56"/>
      <c r="T73" s="56"/>
      <c r="U73" s="56"/>
      <c r="V73" s="19"/>
      <c r="W73" s="51"/>
      <c r="X73" s="57" t="str">
        <f t="shared" si="7"/>
        <v/>
      </c>
      <c r="Y73" s="57" t="str">
        <f t="shared" si="8"/>
        <v/>
      </c>
      <c r="Z73" s="57" t="str">
        <f t="shared" si="9"/>
        <v/>
      </c>
      <c r="AA73" s="58" t="str">
        <f t="shared" si="10"/>
        <v/>
      </c>
      <c r="AB73" s="58" t="str">
        <f t="shared" si="11"/>
        <v/>
      </c>
      <c r="AC73" s="57" t="str">
        <f t="shared" si="12"/>
        <v/>
      </c>
      <c r="AD73" s="59" t="str">
        <f t="shared" si="13"/>
        <v/>
      </c>
      <c r="AE73" s="54" t="str">
        <f>IF($B73="","",IF(NOT(ISNUMBER($AA73)),"Aguardando fechamento",IF($P73&gt;0,"ACAO: "&amp;TEXT($P73,"0")&amp;" carga(s) terceirizada(s) de forma evitavel",IF(IF(ISNUMBER($Z73),$Z73,0)&gt;IFERROR(INDEX(Parâmetros!$G$5:$G$10,MATCH($C73,Parâmetros!$B$5:$B$10,0)),""),"ALERTA: terceiros acima da meta",IF($AA73&gt;IFERROR(INDEX(Parâmetros!$D$5:$D$10,MATCH($C73,Parâmetros!$B$5:$B$10,0)),""),"ALERTA: custo/km acima da meta","OK - dentro das metas")))))</f>
        <v/>
      </c>
    </row>
    <row r="74" spans="2:31" ht="15" customHeight="1" x14ac:dyDescent="0.3">
      <c r="B74" s="48"/>
      <c r="C74" s="49"/>
      <c r="D74" s="50"/>
      <c r="E74" s="51"/>
      <c r="F74" s="52"/>
      <c r="G74" s="51"/>
      <c r="H74" s="51"/>
      <c r="I74" s="53" t="str">
        <f>IF($B74="","",IFERROR($G74*IFERROR(INDEX(Parâmetros!$C$5:$C$10,MATCH($C74,Parâmetros!$B$5:$B$10,0)),"")/Parâmetros!$C$13,""))</f>
        <v/>
      </c>
      <c r="J74" s="53" t="str">
        <f>IF($B74="","",IFERROR($E74*IFERROR(INDEX(Parâmetros!$E$5:$E$10,MATCH($C74,Parâmetros!$B$5:$B$10,0)),"")-$I74,""))</f>
        <v/>
      </c>
      <c r="K74" s="54" t="str">
        <f>IF($B74="","",IF(NOT(ISNUMBER($J74)),"",IF($J74&lt;=0,"OK - frota cobre a meta do dia",IF($J74&lt;=Parâmetros!$C$15,"ATENCAO - faltam "&amp;TEXT($J74,"0")&amp;" viagem(ns) de frota","CRITICO - faltam "&amp;TEXT($J74,"0")&amp;" viagens: acionar plano"))))</f>
        <v/>
      </c>
      <c r="L74" s="51"/>
      <c r="M74" s="51"/>
      <c r="N74" s="51"/>
      <c r="O74" s="50"/>
      <c r="P74" s="51"/>
      <c r="Q74" s="51"/>
      <c r="R74" s="55"/>
      <c r="S74" s="56"/>
      <c r="T74" s="56"/>
      <c r="U74" s="56"/>
      <c r="V74" s="19"/>
      <c r="W74" s="51"/>
      <c r="X74" s="57" t="str">
        <f t="shared" si="7"/>
        <v/>
      </c>
      <c r="Y74" s="57" t="str">
        <f t="shared" si="8"/>
        <v/>
      </c>
      <c r="Z74" s="57" t="str">
        <f t="shared" si="9"/>
        <v/>
      </c>
      <c r="AA74" s="58" t="str">
        <f t="shared" si="10"/>
        <v/>
      </c>
      <c r="AB74" s="58" t="str">
        <f t="shared" si="11"/>
        <v/>
      </c>
      <c r="AC74" s="57" t="str">
        <f t="shared" si="12"/>
        <v/>
      </c>
      <c r="AD74" s="59" t="str">
        <f t="shared" si="13"/>
        <v/>
      </c>
      <c r="AE74" s="54" t="str">
        <f>IF($B74="","",IF(NOT(ISNUMBER($AA74)),"Aguardando fechamento",IF($P74&gt;0,"ACAO: "&amp;TEXT($P74,"0")&amp;" carga(s) terceirizada(s) de forma evitavel",IF(IF(ISNUMBER($Z74),$Z74,0)&gt;IFERROR(INDEX(Parâmetros!$G$5:$G$10,MATCH($C74,Parâmetros!$B$5:$B$10,0)),""),"ALERTA: terceiros acima da meta",IF($AA74&gt;IFERROR(INDEX(Parâmetros!$D$5:$D$10,MATCH($C74,Parâmetros!$B$5:$B$10,0)),""),"ALERTA: custo/km acima da meta","OK - dentro das metas")))))</f>
        <v/>
      </c>
    </row>
    <row r="75" spans="2:31" ht="15" customHeight="1" x14ac:dyDescent="0.3">
      <c r="B75" s="48"/>
      <c r="C75" s="49"/>
      <c r="D75" s="50"/>
      <c r="E75" s="51"/>
      <c r="F75" s="52"/>
      <c r="G75" s="51"/>
      <c r="H75" s="51"/>
      <c r="I75" s="53" t="str">
        <f>IF($B75="","",IFERROR($G75*IFERROR(INDEX(Parâmetros!$C$5:$C$10,MATCH($C75,Parâmetros!$B$5:$B$10,0)),"")/Parâmetros!$C$13,""))</f>
        <v/>
      </c>
      <c r="J75" s="53" t="str">
        <f>IF($B75="","",IFERROR($E75*IFERROR(INDEX(Parâmetros!$E$5:$E$10,MATCH($C75,Parâmetros!$B$5:$B$10,0)),"")-$I75,""))</f>
        <v/>
      </c>
      <c r="K75" s="54" t="str">
        <f>IF($B75="","",IF(NOT(ISNUMBER($J75)),"",IF($J75&lt;=0,"OK - frota cobre a meta do dia",IF($J75&lt;=Parâmetros!$C$15,"ATENCAO - faltam "&amp;TEXT($J75,"0")&amp;" viagem(ns) de frota","CRITICO - faltam "&amp;TEXT($J75,"0")&amp;" viagens: acionar plano"))))</f>
        <v/>
      </c>
      <c r="L75" s="51"/>
      <c r="M75" s="51"/>
      <c r="N75" s="51"/>
      <c r="O75" s="50"/>
      <c r="P75" s="51"/>
      <c r="Q75" s="51"/>
      <c r="R75" s="55"/>
      <c r="S75" s="56"/>
      <c r="T75" s="56"/>
      <c r="U75" s="56"/>
      <c r="V75" s="19"/>
      <c r="W75" s="51"/>
      <c r="X75" s="57" t="str">
        <f t="shared" si="7"/>
        <v/>
      </c>
      <c r="Y75" s="57" t="str">
        <f t="shared" si="8"/>
        <v/>
      </c>
      <c r="Z75" s="57" t="str">
        <f t="shared" si="9"/>
        <v/>
      </c>
      <c r="AA75" s="58" t="str">
        <f t="shared" si="10"/>
        <v/>
      </c>
      <c r="AB75" s="58" t="str">
        <f t="shared" si="11"/>
        <v/>
      </c>
      <c r="AC75" s="57" t="str">
        <f t="shared" si="12"/>
        <v/>
      </c>
      <c r="AD75" s="59" t="str">
        <f t="shared" si="13"/>
        <v/>
      </c>
      <c r="AE75" s="54" t="str">
        <f>IF($B75="","",IF(NOT(ISNUMBER($AA75)),"Aguardando fechamento",IF($P75&gt;0,"ACAO: "&amp;TEXT($P75,"0")&amp;" carga(s) terceirizada(s) de forma evitavel",IF(IF(ISNUMBER($Z75),$Z75,0)&gt;IFERROR(INDEX(Parâmetros!$G$5:$G$10,MATCH($C75,Parâmetros!$B$5:$B$10,0)),""),"ALERTA: terceiros acima da meta",IF($AA75&gt;IFERROR(INDEX(Parâmetros!$D$5:$D$10,MATCH($C75,Parâmetros!$B$5:$B$10,0)),""),"ALERTA: custo/km acima da meta","OK - dentro das metas")))))</f>
        <v/>
      </c>
    </row>
    <row r="76" spans="2:31" ht="15" customHeight="1" x14ac:dyDescent="0.3">
      <c r="B76" s="48"/>
      <c r="C76" s="49"/>
      <c r="D76" s="50"/>
      <c r="E76" s="51"/>
      <c r="F76" s="52"/>
      <c r="G76" s="51"/>
      <c r="H76" s="51"/>
      <c r="I76" s="53" t="str">
        <f>IF($B76="","",IFERROR($G76*IFERROR(INDEX(Parâmetros!$C$5:$C$10,MATCH($C76,Parâmetros!$B$5:$B$10,0)),"")/Parâmetros!$C$13,""))</f>
        <v/>
      </c>
      <c r="J76" s="53" t="str">
        <f>IF($B76="","",IFERROR($E76*IFERROR(INDEX(Parâmetros!$E$5:$E$10,MATCH($C76,Parâmetros!$B$5:$B$10,0)),"")-$I76,""))</f>
        <v/>
      </c>
      <c r="K76" s="54" t="str">
        <f>IF($B76="","",IF(NOT(ISNUMBER($J76)),"",IF($J76&lt;=0,"OK - frota cobre a meta do dia",IF($J76&lt;=Parâmetros!$C$15,"ATENCAO - faltam "&amp;TEXT($J76,"0")&amp;" viagem(ns) de frota","CRITICO - faltam "&amp;TEXT($J76,"0")&amp;" viagens: acionar plano"))))</f>
        <v/>
      </c>
      <c r="L76" s="51"/>
      <c r="M76" s="51"/>
      <c r="N76" s="51"/>
      <c r="O76" s="50"/>
      <c r="P76" s="51"/>
      <c r="Q76" s="51"/>
      <c r="R76" s="55"/>
      <c r="S76" s="56"/>
      <c r="T76" s="56"/>
      <c r="U76" s="56"/>
      <c r="V76" s="19"/>
      <c r="W76" s="51"/>
      <c r="X76" s="57" t="str">
        <f t="shared" si="7"/>
        <v/>
      </c>
      <c r="Y76" s="57" t="str">
        <f t="shared" si="8"/>
        <v/>
      </c>
      <c r="Z76" s="57" t="str">
        <f t="shared" si="9"/>
        <v/>
      </c>
      <c r="AA76" s="58" t="str">
        <f t="shared" si="10"/>
        <v/>
      </c>
      <c r="AB76" s="58" t="str">
        <f t="shared" si="11"/>
        <v/>
      </c>
      <c r="AC76" s="57" t="str">
        <f t="shared" si="12"/>
        <v/>
      </c>
      <c r="AD76" s="59" t="str">
        <f t="shared" si="13"/>
        <v/>
      </c>
      <c r="AE76" s="54" t="str">
        <f>IF($B76="","",IF(NOT(ISNUMBER($AA76)),"Aguardando fechamento",IF($P76&gt;0,"ACAO: "&amp;TEXT($P76,"0")&amp;" carga(s) terceirizada(s) de forma evitavel",IF(IF(ISNUMBER($Z76),$Z76,0)&gt;IFERROR(INDEX(Parâmetros!$G$5:$G$10,MATCH($C76,Parâmetros!$B$5:$B$10,0)),""),"ALERTA: terceiros acima da meta",IF($AA76&gt;IFERROR(INDEX(Parâmetros!$D$5:$D$10,MATCH($C76,Parâmetros!$B$5:$B$10,0)),""),"ALERTA: custo/km acima da meta","OK - dentro das metas")))))</f>
        <v/>
      </c>
    </row>
    <row r="77" spans="2:31" ht="15" customHeight="1" x14ac:dyDescent="0.3">
      <c r="B77" s="48"/>
      <c r="C77" s="49"/>
      <c r="D77" s="50"/>
      <c r="E77" s="51"/>
      <c r="F77" s="52"/>
      <c r="G77" s="51"/>
      <c r="H77" s="51"/>
      <c r="I77" s="53" t="str">
        <f>IF($B77="","",IFERROR($G77*IFERROR(INDEX(Parâmetros!$C$5:$C$10,MATCH($C77,Parâmetros!$B$5:$B$10,0)),"")/Parâmetros!$C$13,""))</f>
        <v/>
      </c>
      <c r="J77" s="53" t="str">
        <f>IF($B77="","",IFERROR($E77*IFERROR(INDEX(Parâmetros!$E$5:$E$10,MATCH($C77,Parâmetros!$B$5:$B$10,0)),"")-$I77,""))</f>
        <v/>
      </c>
      <c r="K77" s="54" t="str">
        <f>IF($B77="","",IF(NOT(ISNUMBER($J77)),"",IF($J77&lt;=0,"OK - frota cobre a meta do dia",IF($J77&lt;=Parâmetros!$C$15,"ATENCAO - faltam "&amp;TEXT($J77,"0")&amp;" viagem(ns) de frota","CRITICO - faltam "&amp;TEXT($J77,"0")&amp;" viagens: acionar plano"))))</f>
        <v/>
      </c>
      <c r="L77" s="51"/>
      <c r="M77" s="51"/>
      <c r="N77" s="51"/>
      <c r="O77" s="50"/>
      <c r="P77" s="51"/>
      <c r="Q77" s="51"/>
      <c r="R77" s="55"/>
      <c r="S77" s="56"/>
      <c r="T77" s="56"/>
      <c r="U77" s="56"/>
      <c r="V77" s="19"/>
      <c r="W77" s="51"/>
      <c r="X77" s="57" t="str">
        <f t="shared" si="7"/>
        <v/>
      </c>
      <c r="Y77" s="57" t="str">
        <f t="shared" si="8"/>
        <v/>
      </c>
      <c r="Z77" s="57" t="str">
        <f t="shared" si="9"/>
        <v/>
      </c>
      <c r="AA77" s="58" t="str">
        <f t="shared" si="10"/>
        <v/>
      </c>
      <c r="AB77" s="58" t="str">
        <f t="shared" si="11"/>
        <v/>
      </c>
      <c r="AC77" s="57" t="str">
        <f t="shared" si="12"/>
        <v/>
      </c>
      <c r="AD77" s="59" t="str">
        <f t="shared" si="13"/>
        <v/>
      </c>
      <c r="AE77" s="54" t="str">
        <f>IF($B77="","",IF(NOT(ISNUMBER($AA77)),"Aguardando fechamento",IF($P77&gt;0,"ACAO: "&amp;TEXT($P77,"0")&amp;" carga(s) terceirizada(s) de forma evitavel",IF(IF(ISNUMBER($Z77),$Z77,0)&gt;IFERROR(INDEX(Parâmetros!$G$5:$G$10,MATCH($C77,Parâmetros!$B$5:$B$10,0)),""),"ALERTA: terceiros acima da meta",IF($AA77&gt;IFERROR(INDEX(Parâmetros!$D$5:$D$10,MATCH($C77,Parâmetros!$B$5:$B$10,0)),""),"ALERTA: custo/km acima da meta","OK - dentro das metas")))))</f>
        <v/>
      </c>
    </row>
    <row r="78" spans="2:31" ht="15" customHeight="1" x14ac:dyDescent="0.3">
      <c r="B78" s="48"/>
      <c r="C78" s="49"/>
      <c r="D78" s="50"/>
      <c r="E78" s="51"/>
      <c r="F78" s="52"/>
      <c r="G78" s="51"/>
      <c r="H78" s="51"/>
      <c r="I78" s="53" t="str">
        <f>IF($B78="","",IFERROR($G78*IFERROR(INDEX(Parâmetros!$C$5:$C$10,MATCH($C78,Parâmetros!$B$5:$B$10,0)),"")/Parâmetros!$C$13,""))</f>
        <v/>
      </c>
      <c r="J78" s="53" t="str">
        <f>IF($B78="","",IFERROR($E78*IFERROR(INDEX(Parâmetros!$E$5:$E$10,MATCH($C78,Parâmetros!$B$5:$B$10,0)),"")-$I78,""))</f>
        <v/>
      </c>
      <c r="K78" s="54" t="str">
        <f>IF($B78="","",IF(NOT(ISNUMBER($J78)),"",IF($J78&lt;=0,"OK - frota cobre a meta do dia",IF($J78&lt;=Parâmetros!$C$15,"ATENCAO - faltam "&amp;TEXT($J78,"0")&amp;" viagem(ns) de frota","CRITICO - faltam "&amp;TEXT($J78,"0")&amp;" viagens: acionar plano"))))</f>
        <v/>
      </c>
      <c r="L78" s="51"/>
      <c r="M78" s="51"/>
      <c r="N78" s="51"/>
      <c r="O78" s="50"/>
      <c r="P78" s="51"/>
      <c r="Q78" s="51"/>
      <c r="R78" s="55"/>
      <c r="S78" s="56"/>
      <c r="T78" s="56"/>
      <c r="U78" s="56"/>
      <c r="V78" s="19"/>
      <c r="W78" s="51"/>
      <c r="X78" s="57" t="str">
        <f t="shared" si="7"/>
        <v/>
      </c>
      <c r="Y78" s="57" t="str">
        <f t="shared" si="8"/>
        <v/>
      </c>
      <c r="Z78" s="57" t="str">
        <f t="shared" si="9"/>
        <v/>
      </c>
      <c r="AA78" s="58" t="str">
        <f t="shared" si="10"/>
        <v/>
      </c>
      <c r="AB78" s="58" t="str">
        <f t="shared" si="11"/>
        <v/>
      </c>
      <c r="AC78" s="57" t="str">
        <f t="shared" si="12"/>
        <v/>
      </c>
      <c r="AD78" s="59" t="str">
        <f t="shared" si="13"/>
        <v/>
      </c>
      <c r="AE78" s="54" t="str">
        <f>IF($B78="","",IF(NOT(ISNUMBER($AA78)),"Aguardando fechamento",IF($P78&gt;0,"ACAO: "&amp;TEXT($P78,"0")&amp;" carga(s) terceirizada(s) de forma evitavel",IF(IF(ISNUMBER($Z78),$Z78,0)&gt;IFERROR(INDEX(Parâmetros!$G$5:$G$10,MATCH($C78,Parâmetros!$B$5:$B$10,0)),""),"ALERTA: terceiros acima da meta",IF($AA78&gt;IFERROR(INDEX(Parâmetros!$D$5:$D$10,MATCH($C78,Parâmetros!$B$5:$B$10,0)),""),"ALERTA: custo/km acima da meta","OK - dentro das metas")))))</f>
        <v/>
      </c>
    </row>
    <row r="79" spans="2:31" ht="15" customHeight="1" x14ac:dyDescent="0.3">
      <c r="B79" s="48"/>
      <c r="C79" s="49"/>
      <c r="D79" s="50"/>
      <c r="E79" s="51"/>
      <c r="F79" s="52"/>
      <c r="G79" s="51"/>
      <c r="H79" s="51"/>
      <c r="I79" s="53" t="str">
        <f>IF($B79="","",IFERROR($G79*IFERROR(INDEX(Parâmetros!$C$5:$C$10,MATCH($C79,Parâmetros!$B$5:$B$10,0)),"")/Parâmetros!$C$13,""))</f>
        <v/>
      </c>
      <c r="J79" s="53" t="str">
        <f>IF($B79="","",IFERROR($E79*IFERROR(INDEX(Parâmetros!$E$5:$E$10,MATCH($C79,Parâmetros!$B$5:$B$10,0)),"")-$I79,""))</f>
        <v/>
      </c>
      <c r="K79" s="54" t="str">
        <f>IF($B79="","",IF(NOT(ISNUMBER($J79)),"",IF($J79&lt;=0,"OK - frota cobre a meta do dia",IF($J79&lt;=Parâmetros!$C$15,"ATENCAO - faltam "&amp;TEXT($J79,"0")&amp;" viagem(ns) de frota","CRITICO - faltam "&amp;TEXT($J79,"0")&amp;" viagens: acionar plano"))))</f>
        <v/>
      </c>
      <c r="L79" s="51"/>
      <c r="M79" s="51"/>
      <c r="N79" s="51"/>
      <c r="O79" s="50"/>
      <c r="P79" s="51"/>
      <c r="Q79" s="51"/>
      <c r="R79" s="55"/>
      <c r="S79" s="56"/>
      <c r="T79" s="56"/>
      <c r="U79" s="56"/>
      <c r="V79" s="19"/>
      <c r="W79" s="51"/>
      <c r="X79" s="57" t="str">
        <f t="shared" si="7"/>
        <v/>
      </c>
      <c r="Y79" s="57" t="str">
        <f t="shared" si="8"/>
        <v/>
      </c>
      <c r="Z79" s="57" t="str">
        <f t="shared" si="9"/>
        <v/>
      </c>
      <c r="AA79" s="58" t="str">
        <f t="shared" si="10"/>
        <v/>
      </c>
      <c r="AB79" s="58" t="str">
        <f t="shared" si="11"/>
        <v/>
      </c>
      <c r="AC79" s="57" t="str">
        <f t="shared" si="12"/>
        <v/>
      </c>
      <c r="AD79" s="59" t="str">
        <f t="shared" si="13"/>
        <v/>
      </c>
      <c r="AE79" s="54" t="str">
        <f>IF($B79="","",IF(NOT(ISNUMBER($AA79)),"Aguardando fechamento",IF($P79&gt;0,"ACAO: "&amp;TEXT($P79,"0")&amp;" carga(s) terceirizada(s) de forma evitavel",IF(IF(ISNUMBER($Z79),$Z79,0)&gt;IFERROR(INDEX(Parâmetros!$G$5:$G$10,MATCH($C79,Parâmetros!$B$5:$B$10,0)),""),"ALERTA: terceiros acima da meta",IF($AA79&gt;IFERROR(INDEX(Parâmetros!$D$5:$D$10,MATCH($C79,Parâmetros!$B$5:$B$10,0)),""),"ALERTA: custo/km acima da meta","OK - dentro das metas")))))</f>
        <v/>
      </c>
    </row>
    <row r="80" spans="2:31" ht="15" customHeight="1" x14ac:dyDescent="0.3">
      <c r="B80" s="48"/>
      <c r="C80" s="49"/>
      <c r="D80" s="50"/>
      <c r="E80" s="51"/>
      <c r="F80" s="52"/>
      <c r="G80" s="51"/>
      <c r="H80" s="51"/>
      <c r="I80" s="53" t="str">
        <f>IF($B80="","",IFERROR($G80*IFERROR(INDEX(Parâmetros!$C$5:$C$10,MATCH($C80,Parâmetros!$B$5:$B$10,0)),"")/Parâmetros!$C$13,""))</f>
        <v/>
      </c>
      <c r="J80" s="53" t="str">
        <f>IF($B80="","",IFERROR($E80*IFERROR(INDEX(Parâmetros!$E$5:$E$10,MATCH($C80,Parâmetros!$B$5:$B$10,0)),"")-$I80,""))</f>
        <v/>
      </c>
      <c r="K80" s="54" t="str">
        <f>IF($B80="","",IF(NOT(ISNUMBER($J80)),"",IF($J80&lt;=0,"OK - frota cobre a meta do dia",IF($J80&lt;=Parâmetros!$C$15,"ATENCAO - faltam "&amp;TEXT($J80,"0")&amp;" viagem(ns) de frota","CRITICO - faltam "&amp;TEXT($J80,"0")&amp;" viagens: acionar plano"))))</f>
        <v/>
      </c>
      <c r="L80" s="51"/>
      <c r="M80" s="51"/>
      <c r="N80" s="51"/>
      <c r="O80" s="50"/>
      <c r="P80" s="51"/>
      <c r="Q80" s="51"/>
      <c r="R80" s="55"/>
      <c r="S80" s="56"/>
      <c r="T80" s="56"/>
      <c r="U80" s="56"/>
      <c r="V80" s="19"/>
      <c r="W80" s="51"/>
      <c r="X80" s="57" t="str">
        <f t="shared" si="7"/>
        <v/>
      </c>
      <c r="Y80" s="57" t="str">
        <f t="shared" si="8"/>
        <v/>
      </c>
      <c r="Z80" s="57" t="str">
        <f t="shared" si="9"/>
        <v/>
      </c>
      <c r="AA80" s="58" t="str">
        <f t="shared" si="10"/>
        <v/>
      </c>
      <c r="AB80" s="58" t="str">
        <f t="shared" si="11"/>
        <v/>
      </c>
      <c r="AC80" s="57" t="str">
        <f t="shared" si="12"/>
        <v/>
      </c>
      <c r="AD80" s="59" t="str">
        <f t="shared" si="13"/>
        <v/>
      </c>
      <c r="AE80" s="54" t="str">
        <f>IF($B80="","",IF(NOT(ISNUMBER($AA80)),"Aguardando fechamento",IF($P80&gt;0,"ACAO: "&amp;TEXT($P80,"0")&amp;" carga(s) terceirizada(s) de forma evitavel",IF(IF(ISNUMBER($Z80),$Z80,0)&gt;IFERROR(INDEX(Parâmetros!$G$5:$G$10,MATCH($C80,Parâmetros!$B$5:$B$10,0)),""),"ALERTA: terceiros acima da meta",IF($AA80&gt;IFERROR(INDEX(Parâmetros!$D$5:$D$10,MATCH($C80,Parâmetros!$B$5:$B$10,0)),""),"ALERTA: custo/km acima da meta","OK - dentro das metas")))))</f>
        <v/>
      </c>
    </row>
    <row r="81" spans="2:31" ht="15" customHeight="1" x14ac:dyDescent="0.3">
      <c r="B81" s="48"/>
      <c r="C81" s="49"/>
      <c r="D81" s="50"/>
      <c r="E81" s="51"/>
      <c r="F81" s="52"/>
      <c r="G81" s="51"/>
      <c r="H81" s="51"/>
      <c r="I81" s="53" t="str">
        <f>IF($B81="","",IFERROR($G81*IFERROR(INDEX(Parâmetros!$C$5:$C$10,MATCH($C81,Parâmetros!$B$5:$B$10,0)),"")/Parâmetros!$C$13,""))</f>
        <v/>
      </c>
      <c r="J81" s="53" t="str">
        <f>IF($B81="","",IFERROR($E81*IFERROR(INDEX(Parâmetros!$E$5:$E$10,MATCH($C81,Parâmetros!$B$5:$B$10,0)),"")-$I81,""))</f>
        <v/>
      </c>
      <c r="K81" s="54" t="str">
        <f>IF($B81="","",IF(NOT(ISNUMBER($J81)),"",IF($J81&lt;=0,"OK - frota cobre a meta do dia",IF($J81&lt;=Parâmetros!$C$15,"ATENCAO - faltam "&amp;TEXT($J81,"0")&amp;" viagem(ns) de frota","CRITICO - faltam "&amp;TEXT($J81,"0")&amp;" viagens: acionar plano"))))</f>
        <v/>
      </c>
      <c r="L81" s="51"/>
      <c r="M81" s="51"/>
      <c r="N81" s="51"/>
      <c r="O81" s="50"/>
      <c r="P81" s="51"/>
      <c r="Q81" s="51"/>
      <c r="R81" s="55"/>
      <c r="S81" s="56"/>
      <c r="T81" s="56"/>
      <c r="U81" s="56"/>
      <c r="V81" s="19"/>
      <c r="W81" s="51"/>
      <c r="X81" s="57" t="str">
        <f t="shared" si="7"/>
        <v/>
      </c>
      <c r="Y81" s="57" t="str">
        <f t="shared" si="8"/>
        <v/>
      </c>
      <c r="Z81" s="57" t="str">
        <f t="shared" si="9"/>
        <v/>
      </c>
      <c r="AA81" s="58" t="str">
        <f t="shared" si="10"/>
        <v/>
      </c>
      <c r="AB81" s="58" t="str">
        <f t="shared" si="11"/>
        <v/>
      </c>
      <c r="AC81" s="57" t="str">
        <f t="shared" si="12"/>
        <v/>
      </c>
      <c r="AD81" s="59" t="str">
        <f t="shared" si="13"/>
        <v/>
      </c>
      <c r="AE81" s="54" t="str">
        <f>IF($B81="","",IF(NOT(ISNUMBER($AA81)),"Aguardando fechamento",IF($P81&gt;0,"ACAO: "&amp;TEXT($P81,"0")&amp;" carga(s) terceirizada(s) de forma evitavel",IF(IF(ISNUMBER($Z81),$Z81,0)&gt;IFERROR(INDEX(Parâmetros!$G$5:$G$10,MATCH($C81,Parâmetros!$B$5:$B$10,0)),""),"ALERTA: terceiros acima da meta",IF($AA81&gt;IFERROR(INDEX(Parâmetros!$D$5:$D$10,MATCH($C81,Parâmetros!$B$5:$B$10,0)),""),"ALERTA: custo/km acima da meta","OK - dentro das metas")))))</f>
        <v/>
      </c>
    </row>
    <row r="82" spans="2:31" ht="15" customHeight="1" x14ac:dyDescent="0.3">
      <c r="B82" s="48"/>
      <c r="C82" s="49"/>
      <c r="D82" s="50"/>
      <c r="E82" s="51"/>
      <c r="F82" s="52"/>
      <c r="G82" s="51"/>
      <c r="H82" s="51"/>
      <c r="I82" s="53" t="str">
        <f>IF($B82="","",IFERROR($G82*IFERROR(INDEX(Parâmetros!$C$5:$C$10,MATCH($C82,Parâmetros!$B$5:$B$10,0)),"")/Parâmetros!$C$13,""))</f>
        <v/>
      </c>
      <c r="J82" s="53" t="str">
        <f>IF($B82="","",IFERROR($E82*IFERROR(INDEX(Parâmetros!$E$5:$E$10,MATCH($C82,Parâmetros!$B$5:$B$10,0)),"")-$I82,""))</f>
        <v/>
      </c>
      <c r="K82" s="54" t="str">
        <f>IF($B82="","",IF(NOT(ISNUMBER($J82)),"",IF($J82&lt;=0,"OK - frota cobre a meta do dia",IF($J82&lt;=Parâmetros!$C$15,"ATENCAO - faltam "&amp;TEXT($J82,"0")&amp;" viagem(ns) de frota","CRITICO - faltam "&amp;TEXT($J82,"0")&amp;" viagens: acionar plano"))))</f>
        <v/>
      </c>
      <c r="L82" s="51"/>
      <c r="M82" s="51"/>
      <c r="N82" s="51"/>
      <c r="O82" s="50"/>
      <c r="P82" s="51"/>
      <c r="Q82" s="51"/>
      <c r="R82" s="55"/>
      <c r="S82" s="56"/>
      <c r="T82" s="56"/>
      <c r="U82" s="56"/>
      <c r="V82" s="19"/>
      <c r="W82" s="51"/>
      <c r="X82" s="57" t="str">
        <f t="shared" si="7"/>
        <v/>
      </c>
      <c r="Y82" s="57" t="str">
        <f t="shared" si="8"/>
        <v/>
      </c>
      <c r="Z82" s="57" t="str">
        <f t="shared" si="9"/>
        <v/>
      </c>
      <c r="AA82" s="58" t="str">
        <f t="shared" si="10"/>
        <v/>
      </c>
      <c r="AB82" s="58" t="str">
        <f t="shared" si="11"/>
        <v/>
      </c>
      <c r="AC82" s="57" t="str">
        <f t="shared" si="12"/>
        <v/>
      </c>
      <c r="AD82" s="59" t="str">
        <f t="shared" si="13"/>
        <v/>
      </c>
      <c r="AE82" s="54" t="str">
        <f>IF($B82="","",IF(NOT(ISNUMBER($AA82)),"Aguardando fechamento",IF($P82&gt;0,"ACAO: "&amp;TEXT($P82,"0")&amp;" carga(s) terceirizada(s) de forma evitavel",IF(IF(ISNUMBER($Z82),$Z82,0)&gt;IFERROR(INDEX(Parâmetros!$G$5:$G$10,MATCH($C82,Parâmetros!$B$5:$B$10,0)),""),"ALERTA: terceiros acima da meta",IF($AA82&gt;IFERROR(INDEX(Parâmetros!$D$5:$D$10,MATCH($C82,Parâmetros!$B$5:$B$10,0)),""),"ALERTA: custo/km acima da meta","OK - dentro das metas")))))</f>
        <v/>
      </c>
    </row>
    <row r="83" spans="2:31" ht="15" customHeight="1" x14ac:dyDescent="0.3">
      <c r="B83" s="48"/>
      <c r="C83" s="49"/>
      <c r="D83" s="50"/>
      <c r="E83" s="51"/>
      <c r="F83" s="52"/>
      <c r="G83" s="51"/>
      <c r="H83" s="51"/>
      <c r="I83" s="53" t="str">
        <f>IF($B83="","",IFERROR($G83*IFERROR(INDEX(Parâmetros!$C$5:$C$10,MATCH($C83,Parâmetros!$B$5:$B$10,0)),"")/Parâmetros!$C$13,""))</f>
        <v/>
      </c>
      <c r="J83" s="53" t="str">
        <f>IF($B83="","",IFERROR($E83*IFERROR(INDEX(Parâmetros!$E$5:$E$10,MATCH($C83,Parâmetros!$B$5:$B$10,0)),"")-$I83,""))</f>
        <v/>
      </c>
      <c r="K83" s="54" t="str">
        <f>IF($B83="","",IF(NOT(ISNUMBER($J83)),"",IF($J83&lt;=0,"OK - frota cobre a meta do dia",IF($J83&lt;=Parâmetros!$C$15,"ATENCAO - faltam "&amp;TEXT($J83,"0")&amp;" viagem(ns) de frota","CRITICO - faltam "&amp;TEXT($J83,"0")&amp;" viagens: acionar plano"))))</f>
        <v/>
      </c>
      <c r="L83" s="51"/>
      <c r="M83" s="51"/>
      <c r="N83" s="51"/>
      <c r="O83" s="50"/>
      <c r="P83" s="51"/>
      <c r="Q83" s="51"/>
      <c r="R83" s="55"/>
      <c r="S83" s="56"/>
      <c r="T83" s="56"/>
      <c r="U83" s="56"/>
      <c r="V83" s="19"/>
      <c r="W83" s="51"/>
      <c r="X83" s="57" t="str">
        <f t="shared" si="7"/>
        <v/>
      </c>
      <c r="Y83" s="57" t="str">
        <f t="shared" si="8"/>
        <v/>
      </c>
      <c r="Z83" s="57" t="str">
        <f t="shared" si="9"/>
        <v/>
      </c>
      <c r="AA83" s="58" t="str">
        <f t="shared" si="10"/>
        <v/>
      </c>
      <c r="AB83" s="58" t="str">
        <f t="shared" si="11"/>
        <v/>
      </c>
      <c r="AC83" s="57" t="str">
        <f t="shared" si="12"/>
        <v/>
      </c>
      <c r="AD83" s="59" t="str">
        <f t="shared" si="13"/>
        <v/>
      </c>
      <c r="AE83" s="54" t="str">
        <f>IF($B83="","",IF(NOT(ISNUMBER($AA83)),"Aguardando fechamento",IF($P83&gt;0,"ACAO: "&amp;TEXT($P83,"0")&amp;" carga(s) terceirizada(s) de forma evitavel",IF(IF(ISNUMBER($Z83),$Z83,0)&gt;IFERROR(INDEX(Parâmetros!$G$5:$G$10,MATCH($C83,Parâmetros!$B$5:$B$10,0)),""),"ALERTA: terceiros acima da meta",IF($AA83&gt;IFERROR(INDEX(Parâmetros!$D$5:$D$10,MATCH($C83,Parâmetros!$B$5:$B$10,0)),""),"ALERTA: custo/km acima da meta","OK - dentro das metas")))))</f>
        <v/>
      </c>
    </row>
    <row r="84" spans="2:31" ht="15" customHeight="1" x14ac:dyDescent="0.3">
      <c r="B84" s="48"/>
      <c r="C84" s="49"/>
      <c r="D84" s="50"/>
      <c r="E84" s="51"/>
      <c r="F84" s="52"/>
      <c r="G84" s="51"/>
      <c r="H84" s="51"/>
      <c r="I84" s="53" t="str">
        <f>IF($B84="","",IFERROR($G84*IFERROR(INDEX(Parâmetros!$C$5:$C$10,MATCH($C84,Parâmetros!$B$5:$B$10,0)),"")/Parâmetros!$C$13,""))</f>
        <v/>
      </c>
      <c r="J84" s="53" t="str">
        <f>IF($B84="","",IFERROR($E84*IFERROR(INDEX(Parâmetros!$E$5:$E$10,MATCH($C84,Parâmetros!$B$5:$B$10,0)),"")-$I84,""))</f>
        <v/>
      </c>
      <c r="K84" s="54" t="str">
        <f>IF($B84="","",IF(NOT(ISNUMBER($J84)),"",IF($J84&lt;=0,"OK - frota cobre a meta do dia",IF($J84&lt;=Parâmetros!$C$15,"ATENCAO - faltam "&amp;TEXT($J84,"0")&amp;" viagem(ns) de frota","CRITICO - faltam "&amp;TEXT($J84,"0")&amp;" viagens: acionar plano"))))</f>
        <v/>
      </c>
      <c r="L84" s="51"/>
      <c r="M84" s="51"/>
      <c r="N84" s="51"/>
      <c r="O84" s="50"/>
      <c r="P84" s="51"/>
      <c r="Q84" s="51"/>
      <c r="R84" s="55"/>
      <c r="S84" s="56"/>
      <c r="T84" s="56"/>
      <c r="U84" s="56"/>
      <c r="V84" s="19"/>
      <c r="W84" s="51"/>
      <c r="X84" s="57" t="str">
        <f t="shared" si="7"/>
        <v/>
      </c>
      <c r="Y84" s="57" t="str">
        <f t="shared" si="8"/>
        <v/>
      </c>
      <c r="Z84" s="57" t="str">
        <f t="shared" si="9"/>
        <v/>
      </c>
      <c r="AA84" s="58" t="str">
        <f t="shared" si="10"/>
        <v/>
      </c>
      <c r="AB84" s="58" t="str">
        <f t="shared" si="11"/>
        <v/>
      </c>
      <c r="AC84" s="57" t="str">
        <f t="shared" si="12"/>
        <v/>
      </c>
      <c r="AD84" s="59" t="str">
        <f t="shared" si="13"/>
        <v/>
      </c>
      <c r="AE84" s="54" t="str">
        <f>IF($B84="","",IF(NOT(ISNUMBER($AA84)),"Aguardando fechamento",IF($P84&gt;0,"ACAO: "&amp;TEXT($P84,"0")&amp;" carga(s) terceirizada(s) de forma evitavel",IF(IF(ISNUMBER($Z84),$Z84,0)&gt;IFERROR(INDEX(Parâmetros!$G$5:$G$10,MATCH($C84,Parâmetros!$B$5:$B$10,0)),""),"ALERTA: terceiros acima da meta",IF($AA84&gt;IFERROR(INDEX(Parâmetros!$D$5:$D$10,MATCH($C84,Parâmetros!$B$5:$B$10,0)),""),"ALERTA: custo/km acima da meta","OK - dentro das metas")))))</f>
        <v/>
      </c>
    </row>
    <row r="85" spans="2:31" ht="15" customHeight="1" x14ac:dyDescent="0.3">
      <c r="B85" s="48"/>
      <c r="C85" s="49"/>
      <c r="D85" s="50"/>
      <c r="E85" s="51"/>
      <c r="F85" s="52"/>
      <c r="G85" s="51"/>
      <c r="H85" s="51"/>
      <c r="I85" s="53" t="str">
        <f>IF($B85="","",IFERROR($G85*IFERROR(INDEX(Parâmetros!$C$5:$C$10,MATCH($C85,Parâmetros!$B$5:$B$10,0)),"")/Parâmetros!$C$13,""))</f>
        <v/>
      </c>
      <c r="J85" s="53" t="str">
        <f>IF($B85="","",IFERROR($E85*IFERROR(INDEX(Parâmetros!$E$5:$E$10,MATCH($C85,Parâmetros!$B$5:$B$10,0)),"")-$I85,""))</f>
        <v/>
      </c>
      <c r="K85" s="54" t="str">
        <f>IF($B85="","",IF(NOT(ISNUMBER($J85)),"",IF($J85&lt;=0,"OK - frota cobre a meta do dia",IF($J85&lt;=Parâmetros!$C$15,"ATENCAO - faltam "&amp;TEXT($J85,"0")&amp;" viagem(ns) de frota","CRITICO - faltam "&amp;TEXT($J85,"0")&amp;" viagens: acionar plano"))))</f>
        <v/>
      </c>
      <c r="L85" s="51"/>
      <c r="M85" s="51"/>
      <c r="N85" s="51"/>
      <c r="O85" s="50"/>
      <c r="P85" s="51"/>
      <c r="Q85" s="51"/>
      <c r="R85" s="55"/>
      <c r="S85" s="56"/>
      <c r="T85" s="56"/>
      <c r="U85" s="56"/>
      <c r="V85" s="19"/>
      <c r="W85" s="51"/>
      <c r="X85" s="57" t="str">
        <f t="shared" si="7"/>
        <v/>
      </c>
      <c r="Y85" s="57" t="str">
        <f t="shared" si="8"/>
        <v/>
      </c>
      <c r="Z85" s="57" t="str">
        <f t="shared" si="9"/>
        <v/>
      </c>
      <c r="AA85" s="58" t="str">
        <f t="shared" si="10"/>
        <v/>
      </c>
      <c r="AB85" s="58" t="str">
        <f t="shared" si="11"/>
        <v/>
      </c>
      <c r="AC85" s="57" t="str">
        <f t="shared" si="12"/>
        <v/>
      </c>
      <c r="AD85" s="59" t="str">
        <f t="shared" si="13"/>
        <v/>
      </c>
      <c r="AE85" s="54" t="str">
        <f>IF($B85="","",IF(NOT(ISNUMBER($AA85)),"Aguardando fechamento",IF($P85&gt;0,"ACAO: "&amp;TEXT($P85,"0")&amp;" carga(s) terceirizada(s) de forma evitavel",IF(IF(ISNUMBER($Z85),$Z85,0)&gt;IFERROR(INDEX(Parâmetros!$G$5:$G$10,MATCH($C85,Parâmetros!$B$5:$B$10,0)),""),"ALERTA: terceiros acima da meta",IF($AA85&gt;IFERROR(INDEX(Parâmetros!$D$5:$D$10,MATCH($C85,Parâmetros!$B$5:$B$10,0)),""),"ALERTA: custo/km acima da meta","OK - dentro das metas")))))</f>
        <v/>
      </c>
    </row>
    <row r="86" spans="2:31" ht="15" customHeight="1" x14ac:dyDescent="0.3">
      <c r="B86" s="48"/>
      <c r="C86" s="49"/>
      <c r="D86" s="50"/>
      <c r="E86" s="51"/>
      <c r="F86" s="52"/>
      <c r="G86" s="51"/>
      <c r="H86" s="51"/>
      <c r="I86" s="53" t="str">
        <f>IF($B86="","",IFERROR($G86*IFERROR(INDEX(Parâmetros!$C$5:$C$10,MATCH($C86,Parâmetros!$B$5:$B$10,0)),"")/Parâmetros!$C$13,""))</f>
        <v/>
      </c>
      <c r="J86" s="53" t="str">
        <f>IF($B86="","",IFERROR($E86*IFERROR(INDEX(Parâmetros!$E$5:$E$10,MATCH($C86,Parâmetros!$B$5:$B$10,0)),"")-$I86,""))</f>
        <v/>
      </c>
      <c r="K86" s="54" t="str">
        <f>IF($B86="","",IF(NOT(ISNUMBER($J86)),"",IF($J86&lt;=0,"OK - frota cobre a meta do dia",IF($J86&lt;=Parâmetros!$C$15,"ATENCAO - faltam "&amp;TEXT($J86,"0")&amp;" viagem(ns) de frota","CRITICO - faltam "&amp;TEXT($J86,"0")&amp;" viagens: acionar plano"))))</f>
        <v/>
      </c>
      <c r="L86" s="51"/>
      <c r="M86" s="51"/>
      <c r="N86" s="51"/>
      <c r="O86" s="50"/>
      <c r="P86" s="51"/>
      <c r="Q86" s="51"/>
      <c r="R86" s="55"/>
      <c r="S86" s="56"/>
      <c r="T86" s="56"/>
      <c r="U86" s="56"/>
      <c r="V86" s="19"/>
      <c r="W86" s="51"/>
      <c r="X86" s="57" t="str">
        <f t="shared" si="7"/>
        <v/>
      </c>
      <c r="Y86" s="57" t="str">
        <f t="shared" si="8"/>
        <v/>
      </c>
      <c r="Z86" s="57" t="str">
        <f t="shared" si="9"/>
        <v/>
      </c>
      <c r="AA86" s="58" t="str">
        <f t="shared" si="10"/>
        <v/>
      </c>
      <c r="AB86" s="58" t="str">
        <f t="shared" si="11"/>
        <v/>
      </c>
      <c r="AC86" s="57" t="str">
        <f t="shared" si="12"/>
        <v/>
      </c>
      <c r="AD86" s="59" t="str">
        <f t="shared" si="13"/>
        <v/>
      </c>
      <c r="AE86" s="54" t="str">
        <f>IF($B86="","",IF(NOT(ISNUMBER($AA86)),"Aguardando fechamento",IF($P86&gt;0,"ACAO: "&amp;TEXT($P86,"0")&amp;" carga(s) terceirizada(s) de forma evitavel",IF(IF(ISNUMBER($Z86),$Z86,0)&gt;IFERROR(INDEX(Parâmetros!$G$5:$G$10,MATCH($C86,Parâmetros!$B$5:$B$10,0)),""),"ALERTA: terceiros acima da meta",IF($AA86&gt;IFERROR(INDEX(Parâmetros!$D$5:$D$10,MATCH($C86,Parâmetros!$B$5:$B$10,0)),""),"ALERTA: custo/km acima da meta","OK - dentro das metas")))))</f>
        <v/>
      </c>
    </row>
    <row r="87" spans="2:31" ht="15" customHeight="1" x14ac:dyDescent="0.3">
      <c r="B87" s="48"/>
      <c r="C87" s="49"/>
      <c r="D87" s="50"/>
      <c r="E87" s="51"/>
      <c r="F87" s="52"/>
      <c r="G87" s="51"/>
      <c r="H87" s="51"/>
      <c r="I87" s="53" t="str">
        <f>IF($B87="","",IFERROR($G87*IFERROR(INDEX(Parâmetros!$C$5:$C$10,MATCH($C87,Parâmetros!$B$5:$B$10,0)),"")/Parâmetros!$C$13,""))</f>
        <v/>
      </c>
      <c r="J87" s="53" t="str">
        <f>IF($B87="","",IFERROR($E87*IFERROR(INDEX(Parâmetros!$E$5:$E$10,MATCH($C87,Parâmetros!$B$5:$B$10,0)),"")-$I87,""))</f>
        <v/>
      </c>
      <c r="K87" s="54" t="str">
        <f>IF($B87="","",IF(NOT(ISNUMBER($J87)),"",IF($J87&lt;=0,"OK - frota cobre a meta do dia",IF($J87&lt;=Parâmetros!$C$15,"ATENCAO - faltam "&amp;TEXT($J87,"0")&amp;" viagem(ns) de frota","CRITICO - faltam "&amp;TEXT($J87,"0")&amp;" viagens: acionar plano"))))</f>
        <v/>
      </c>
      <c r="L87" s="51"/>
      <c r="M87" s="51"/>
      <c r="N87" s="51"/>
      <c r="O87" s="50"/>
      <c r="P87" s="51"/>
      <c r="Q87" s="51"/>
      <c r="R87" s="55"/>
      <c r="S87" s="56"/>
      <c r="T87" s="56"/>
      <c r="U87" s="56"/>
      <c r="V87" s="19"/>
      <c r="W87" s="51"/>
      <c r="X87" s="57" t="str">
        <f t="shared" si="7"/>
        <v/>
      </c>
      <c r="Y87" s="57" t="str">
        <f t="shared" si="8"/>
        <v/>
      </c>
      <c r="Z87" s="57" t="str">
        <f t="shared" si="9"/>
        <v/>
      </c>
      <c r="AA87" s="58" t="str">
        <f t="shared" si="10"/>
        <v/>
      </c>
      <c r="AB87" s="58" t="str">
        <f t="shared" si="11"/>
        <v/>
      </c>
      <c r="AC87" s="57" t="str">
        <f t="shared" si="12"/>
        <v/>
      </c>
      <c r="AD87" s="59" t="str">
        <f t="shared" si="13"/>
        <v/>
      </c>
      <c r="AE87" s="54" t="str">
        <f>IF($B87="","",IF(NOT(ISNUMBER($AA87)),"Aguardando fechamento",IF($P87&gt;0,"ACAO: "&amp;TEXT($P87,"0")&amp;" carga(s) terceirizada(s) de forma evitavel",IF(IF(ISNUMBER($Z87),$Z87,0)&gt;IFERROR(INDEX(Parâmetros!$G$5:$G$10,MATCH($C87,Parâmetros!$B$5:$B$10,0)),""),"ALERTA: terceiros acima da meta",IF($AA87&gt;IFERROR(INDEX(Parâmetros!$D$5:$D$10,MATCH($C87,Parâmetros!$B$5:$B$10,0)),""),"ALERTA: custo/km acima da meta","OK - dentro das metas")))))</f>
        <v/>
      </c>
    </row>
    <row r="88" spans="2:31" ht="15" customHeight="1" x14ac:dyDescent="0.3">
      <c r="B88" s="48"/>
      <c r="C88" s="49"/>
      <c r="D88" s="50"/>
      <c r="E88" s="51"/>
      <c r="F88" s="52"/>
      <c r="G88" s="51"/>
      <c r="H88" s="51"/>
      <c r="I88" s="53" t="str">
        <f>IF($B88="","",IFERROR($G88*IFERROR(INDEX(Parâmetros!$C$5:$C$10,MATCH($C88,Parâmetros!$B$5:$B$10,0)),"")/Parâmetros!$C$13,""))</f>
        <v/>
      </c>
      <c r="J88" s="53" t="str">
        <f>IF($B88="","",IFERROR($E88*IFERROR(INDEX(Parâmetros!$E$5:$E$10,MATCH($C88,Parâmetros!$B$5:$B$10,0)),"")-$I88,""))</f>
        <v/>
      </c>
      <c r="K88" s="54" t="str">
        <f>IF($B88="","",IF(NOT(ISNUMBER($J88)),"",IF($J88&lt;=0,"OK - frota cobre a meta do dia",IF($J88&lt;=Parâmetros!$C$15,"ATENCAO - faltam "&amp;TEXT($J88,"0")&amp;" viagem(ns) de frota","CRITICO - faltam "&amp;TEXT($J88,"0")&amp;" viagens: acionar plano"))))</f>
        <v/>
      </c>
      <c r="L88" s="51"/>
      <c r="M88" s="51"/>
      <c r="N88" s="51"/>
      <c r="O88" s="50"/>
      <c r="P88" s="51"/>
      <c r="Q88" s="51"/>
      <c r="R88" s="55"/>
      <c r="S88" s="56"/>
      <c r="T88" s="56"/>
      <c r="U88" s="56"/>
      <c r="V88" s="19"/>
      <c r="W88" s="51"/>
      <c r="X88" s="57" t="str">
        <f t="shared" si="7"/>
        <v/>
      </c>
      <c r="Y88" s="57" t="str">
        <f t="shared" si="8"/>
        <v/>
      </c>
      <c r="Z88" s="57" t="str">
        <f t="shared" si="9"/>
        <v/>
      </c>
      <c r="AA88" s="58" t="str">
        <f t="shared" si="10"/>
        <v/>
      </c>
      <c r="AB88" s="58" t="str">
        <f t="shared" si="11"/>
        <v/>
      </c>
      <c r="AC88" s="57" t="str">
        <f t="shared" si="12"/>
        <v/>
      </c>
      <c r="AD88" s="59" t="str">
        <f t="shared" si="13"/>
        <v/>
      </c>
      <c r="AE88" s="54" t="str">
        <f>IF($B88="","",IF(NOT(ISNUMBER($AA88)),"Aguardando fechamento",IF($P88&gt;0,"ACAO: "&amp;TEXT($P88,"0")&amp;" carga(s) terceirizada(s) de forma evitavel",IF(IF(ISNUMBER($Z88),$Z88,0)&gt;IFERROR(INDEX(Parâmetros!$G$5:$G$10,MATCH($C88,Parâmetros!$B$5:$B$10,0)),""),"ALERTA: terceiros acima da meta",IF($AA88&gt;IFERROR(INDEX(Parâmetros!$D$5:$D$10,MATCH($C88,Parâmetros!$B$5:$B$10,0)),""),"ALERTA: custo/km acima da meta","OK - dentro das metas")))))</f>
        <v/>
      </c>
    </row>
    <row r="89" spans="2:31" ht="15" customHeight="1" x14ac:dyDescent="0.3">
      <c r="B89" s="48"/>
      <c r="C89" s="49"/>
      <c r="D89" s="50"/>
      <c r="E89" s="51"/>
      <c r="F89" s="52"/>
      <c r="G89" s="51"/>
      <c r="H89" s="51"/>
      <c r="I89" s="53" t="str">
        <f>IF($B89="","",IFERROR($G89*IFERROR(INDEX(Parâmetros!$C$5:$C$10,MATCH($C89,Parâmetros!$B$5:$B$10,0)),"")/Parâmetros!$C$13,""))</f>
        <v/>
      </c>
      <c r="J89" s="53" t="str">
        <f>IF($B89="","",IFERROR($E89*IFERROR(INDEX(Parâmetros!$E$5:$E$10,MATCH($C89,Parâmetros!$B$5:$B$10,0)),"")-$I89,""))</f>
        <v/>
      </c>
      <c r="K89" s="54" t="str">
        <f>IF($B89="","",IF(NOT(ISNUMBER($J89)),"",IF($J89&lt;=0,"OK - frota cobre a meta do dia",IF($J89&lt;=Parâmetros!$C$15,"ATENCAO - faltam "&amp;TEXT($J89,"0")&amp;" viagem(ns) de frota","CRITICO - faltam "&amp;TEXT($J89,"0")&amp;" viagens: acionar plano"))))</f>
        <v/>
      </c>
      <c r="L89" s="51"/>
      <c r="M89" s="51"/>
      <c r="N89" s="51"/>
      <c r="O89" s="50"/>
      <c r="P89" s="51"/>
      <c r="Q89" s="51"/>
      <c r="R89" s="55"/>
      <c r="S89" s="56"/>
      <c r="T89" s="56"/>
      <c r="U89" s="56"/>
      <c r="V89" s="19"/>
      <c r="W89" s="51"/>
      <c r="X89" s="57" t="str">
        <f t="shared" si="7"/>
        <v/>
      </c>
      <c r="Y89" s="57" t="str">
        <f t="shared" si="8"/>
        <v/>
      </c>
      <c r="Z89" s="57" t="str">
        <f t="shared" si="9"/>
        <v/>
      </c>
      <c r="AA89" s="58" t="str">
        <f t="shared" si="10"/>
        <v/>
      </c>
      <c r="AB89" s="58" t="str">
        <f t="shared" si="11"/>
        <v/>
      </c>
      <c r="AC89" s="57" t="str">
        <f t="shared" si="12"/>
        <v/>
      </c>
      <c r="AD89" s="59" t="str">
        <f t="shared" si="13"/>
        <v/>
      </c>
      <c r="AE89" s="54" t="str">
        <f>IF($B89="","",IF(NOT(ISNUMBER($AA89)),"Aguardando fechamento",IF($P89&gt;0,"ACAO: "&amp;TEXT($P89,"0")&amp;" carga(s) terceirizada(s) de forma evitavel",IF(IF(ISNUMBER($Z89),$Z89,0)&gt;IFERROR(INDEX(Parâmetros!$G$5:$G$10,MATCH($C89,Parâmetros!$B$5:$B$10,0)),""),"ALERTA: terceiros acima da meta",IF($AA89&gt;IFERROR(INDEX(Parâmetros!$D$5:$D$10,MATCH($C89,Parâmetros!$B$5:$B$10,0)),""),"ALERTA: custo/km acima da meta","OK - dentro das metas")))))</f>
        <v/>
      </c>
    </row>
    <row r="90" spans="2:31" ht="15" customHeight="1" x14ac:dyDescent="0.3">
      <c r="B90" s="48"/>
      <c r="C90" s="49"/>
      <c r="D90" s="50"/>
      <c r="E90" s="51"/>
      <c r="F90" s="52"/>
      <c r="G90" s="51"/>
      <c r="H90" s="51"/>
      <c r="I90" s="53" t="str">
        <f>IF($B90="","",IFERROR($G90*IFERROR(INDEX(Parâmetros!$C$5:$C$10,MATCH($C90,Parâmetros!$B$5:$B$10,0)),"")/Parâmetros!$C$13,""))</f>
        <v/>
      </c>
      <c r="J90" s="53" t="str">
        <f>IF($B90="","",IFERROR($E90*IFERROR(INDEX(Parâmetros!$E$5:$E$10,MATCH($C90,Parâmetros!$B$5:$B$10,0)),"")-$I90,""))</f>
        <v/>
      </c>
      <c r="K90" s="54" t="str">
        <f>IF($B90="","",IF(NOT(ISNUMBER($J90)),"",IF($J90&lt;=0,"OK - frota cobre a meta do dia",IF($J90&lt;=Parâmetros!$C$15,"ATENCAO - faltam "&amp;TEXT($J90,"0")&amp;" viagem(ns) de frota","CRITICO - faltam "&amp;TEXT($J90,"0")&amp;" viagens: acionar plano"))))</f>
        <v/>
      </c>
      <c r="L90" s="51"/>
      <c r="M90" s="51"/>
      <c r="N90" s="51"/>
      <c r="O90" s="50"/>
      <c r="P90" s="51"/>
      <c r="Q90" s="51"/>
      <c r="R90" s="55"/>
      <c r="S90" s="56"/>
      <c r="T90" s="56"/>
      <c r="U90" s="56"/>
      <c r="V90" s="19"/>
      <c r="W90" s="51"/>
      <c r="X90" s="57" t="str">
        <f t="shared" si="7"/>
        <v/>
      </c>
      <c r="Y90" s="57" t="str">
        <f t="shared" si="8"/>
        <v/>
      </c>
      <c r="Z90" s="57" t="str">
        <f t="shared" si="9"/>
        <v/>
      </c>
      <c r="AA90" s="58" t="str">
        <f t="shared" si="10"/>
        <v/>
      </c>
      <c r="AB90" s="58" t="str">
        <f t="shared" si="11"/>
        <v/>
      </c>
      <c r="AC90" s="57" t="str">
        <f t="shared" si="12"/>
        <v/>
      </c>
      <c r="AD90" s="59" t="str">
        <f t="shared" si="13"/>
        <v/>
      </c>
      <c r="AE90" s="54" t="str">
        <f>IF($B90="","",IF(NOT(ISNUMBER($AA90)),"Aguardando fechamento",IF($P90&gt;0,"ACAO: "&amp;TEXT($P90,"0")&amp;" carga(s) terceirizada(s) de forma evitavel",IF(IF(ISNUMBER($Z90),$Z90,0)&gt;IFERROR(INDEX(Parâmetros!$G$5:$G$10,MATCH($C90,Parâmetros!$B$5:$B$10,0)),""),"ALERTA: terceiros acima da meta",IF($AA90&gt;IFERROR(INDEX(Parâmetros!$D$5:$D$10,MATCH($C90,Parâmetros!$B$5:$B$10,0)),""),"ALERTA: custo/km acima da meta","OK - dentro das metas")))))</f>
        <v/>
      </c>
    </row>
    <row r="91" spans="2:31" ht="15" customHeight="1" x14ac:dyDescent="0.3">
      <c r="B91" s="48"/>
      <c r="C91" s="49"/>
      <c r="D91" s="50"/>
      <c r="E91" s="51"/>
      <c r="F91" s="52"/>
      <c r="G91" s="51"/>
      <c r="H91" s="51"/>
      <c r="I91" s="53" t="str">
        <f>IF($B91="","",IFERROR($G91*IFERROR(INDEX(Parâmetros!$C$5:$C$10,MATCH($C91,Parâmetros!$B$5:$B$10,0)),"")/Parâmetros!$C$13,""))</f>
        <v/>
      </c>
      <c r="J91" s="53" t="str">
        <f>IF($B91="","",IFERROR($E91*IFERROR(INDEX(Parâmetros!$E$5:$E$10,MATCH($C91,Parâmetros!$B$5:$B$10,0)),"")-$I91,""))</f>
        <v/>
      </c>
      <c r="K91" s="54" t="str">
        <f>IF($B91="","",IF(NOT(ISNUMBER($J91)),"",IF($J91&lt;=0,"OK - frota cobre a meta do dia",IF($J91&lt;=Parâmetros!$C$15,"ATENCAO - faltam "&amp;TEXT($J91,"0")&amp;" viagem(ns) de frota","CRITICO - faltam "&amp;TEXT($J91,"0")&amp;" viagens: acionar plano"))))</f>
        <v/>
      </c>
      <c r="L91" s="51"/>
      <c r="M91" s="51"/>
      <c r="N91" s="51"/>
      <c r="O91" s="50"/>
      <c r="P91" s="51"/>
      <c r="Q91" s="51"/>
      <c r="R91" s="55"/>
      <c r="S91" s="56"/>
      <c r="T91" s="56"/>
      <c r="U91" s="56"/>
      <c r="V91" s="19"/>
      <c r="W91" s="51"/>
      <c r="X91" s="57" t="str">
        <f t="shared" si="7"/>
        <v/>
      </c>
      <c r="Y91" s="57" t="str">
        <f t="shared" si="8"/>
        <v/>
      </c>
      <c r="Z91" s="57" t="str">
        <f t="shared" si="9"/>
        <v/>
      </c>
      <c r="AA91" s="58" t="str">
        <f t="shared" si="10"/>
        <v/>
      </c>
      <c r="AB91" s="58" t="str">
        <f t="shared" si="11"/>
        <v/>
      </c>
      <c r="AC91" s="57" t="str">
        <f t="shared" si="12"/>
        <v/>
      </c>
      <c r="AD91" s="59" t="str">
        <f t="shared" si="13"/>
        <v/>
      </c>
      <c r="AE91" s="54" t="str">
        <f>IF($B91="","",IF(NOT(ISNUMBER($AA91)),"Aguardando fechamento",IF($P91&gt;0,"ACAO: "&amp;TEXT($P91,"0")&amp;" carga(s) terceirizada(s) de forma evitavel",IF(IF(ISNUMBER($Z91),$Z91,0)&gt;IFERROR(INDEX(Parâmetros!$G$5:$G$10,MATCH($C91,Parâmetros!$B$5:$B$10,0)),""),"ALERTA: terceiros acima da meta",IF($AA91&gt;IFERROR(INDEX(Parâmetros!$D$5:$D$10,MATCH($C91,Parâmetros!$B$5:$B$10,0)),""),"ALERTA: custo/km acima da meta","OK - dentro das metas")))))</f>
        <v/>
      </c>
    </row>
    <row r="92" spans="2:31" ht="15" customHeight="1" x14ac:dyDescent="0.3">
      <c r="B92" s="48"/>
      <c r="C92" s="49"/>
      <c r="D92" s="50"/>
      <c r="E92" s="51"/>
      <c r="F92" s="52"/>
      <c r="G92" s="51"/>
      <c r="H92" s="51"/>
      <c r="I92" s="53" t="str">
        <f>IF($B92="","",IFERROR($G92*IFERROR(INDEX(Parâmetros!$C$5:$C$10,MATCH($C92,Parâmetros!$B$5:$B$10,0)),"")/Parâmetros!$C$13,""))</f>
        <v/>
      </c>
      <c r="J92" s="53" t="str">
        <f>IF($B92="","",IFERROR($E92*IFERROR(INDEX(Parâmetros!$E$5:$E$10,MATCH($C92,Parâmetros!$B$5:$B$10,0)),"")-$I92,""))</f>
        <v/>
      </c>
      <c r="K92" s="54" t="str">
        <f>IF($B92="","",IF(NOT(ISNUMBER($J92)),"",IF($J92&lt;=0,"OK - frota cobre a meta do dia",IF($J92&lt;=Parâmetros!$C$15,"ATENCAO - faltam "&amp;TEXT($J92,"0")&amp;" viagem(ns) de frota","CRITICO - faltam "&amp;TEXT($J92,"0")&amp;" viagens: acionar plano"))))</f>
        <v/>
      </c>
      <c r="L92" s="51"/>
      <c r="M92" s="51"/>
      <c r="N92" s="51"/>
      <c r="O92" s="50"/>
      <c r="P92" s="51"/>
      <c r="Q92" s="51"/>
      <c r="R92" s="55"/>
      <c r="S92" s="56"/>
      <c r="T92" s="56"/>
      <c r="U92" s="56"/>
      <c r="V92" s="19"/>
      <c r="W92" s="51"/>
      <c r="X92" s="57" t="str">
        <f t="shared" si="7"/>
        <v/>
      </c>
      <c r="Y92" s="57" t="str">
        <f t="shared" si="8"/>
        <v/>
      </c>
      <c r="Z92" s="57" t="str">
        <f t="shared" si="9"/>
        <v/>
      </c>
      <c r="AA92" s="58" t="str">
        <f t="shared" si="10"/>
        <v/>
      </c>
      <c r="AB92" s="58" t="str">
        <f t="shared" si="11"/>
        <v/>
      </c>
      <c r="AC92" s="57" t="str">
        <f t="shared" si="12"/>
        <v/>
      </c>
      <c r="AD92" s="59" t="str">
        <f t="shared" si="13"/>
        <v/>
      </c>
      <c r="AE92" s="54" t="str">
        <f>IF($B92="","",IF(NOT(ISNUMBER($AA92)),"Aguardando fechamento",IF($P92&gt;0,"ACAO: "&amp;TEXT($P92,"0")&amp;" carga(s) terceirizada(s) de forma evitavel",IF(IF(ISNUMBER($Z92),$Z92,0)&gt;IFERROR(INDEX(Parâmetros!$G$5:$G$10,MATCH($C92,Parâmetros!$B$5:$B$10,0)),""),"ALERTA: terceiros acima da meta",IF($AA92&gt;IFERROR(INDEX(Parâmetros!$D$5:$D$10,MATCH($C92,Parâmetros!$B$5:$B$10,0)),""),"ALERTA: custo/km acima da meta","OK - dentro das metas")))))</f>
        <v/>
      </c>
    </row>
    <row r="93" spans="2:31" ht="15" customHeight="1" x14ac:dyDescent="0.3">
      <c r="B93" s="48"/>
      <c r="C93" s="49"/>
      <c r="D93" s="50"/>
      <c r="E93" s="51"/>
      <c r="F93" s="52"/>
      <c r="G93" s="51"/>
      <c r="H93" s="51"/>
      <c r="I93" s="53" t="str">
        <f>IF($B93="","",IFERROR($G93*IFERROR(INDEX(Parâmetros!$C$5:$C$10,MATCH($C93,Parâmetros!$B$5:$B$10,0)),"")/Parâmetros!$C$13,""))</f>
        <v/>
      </c>
      <c r="J93" s="53" t="str">
        <f>IF($B93="","",IFERROR($E93*IFERROR(INDEX(Parâmetros!$E$5:$E$10,MATCH($C93,Parâmetros!$B$5:$B$10,0)),"")-$I93,""))</f>
        <v/>
      </c>
      <c r="K93" s="54" t="str">
        <f>IF($B93="","",IF(NOT(ISNUMBER($J93)),"",IF($J93&lt;=0,"OK - frota cobre a meta do dia",IF($J93&lt;=Parâmetros!$C$15,"ATENCAO - faltam "&amp;TEXT($J93,"0")&amp;" viagem(ns) de frota","CRITICO - faltam "&amp;TEXT($J93,"0")&amp;" viagens: acionar plano"))))</f>
        <v/>
      </c>
      <c r="L93" s="51"/>
      <c r="M93" s="51"/>
      <c r="N93" s="51"/>
      <c r="O93" s="50"/>
      <c r="P93" s="51"/>
      <c r="Q93" s="51"/>
      <c r="R93" s="55"/>
      <c r="S93" s="56"/>
      <c r="T93" s="56"/>
      <c r="U93" s="56"/>
      <c r="V93" s="19"/>
      <c r="W93" s="51"/>
      <c r="X93" s="57" t="str">
        <f t="shared" si="7"/>
        <v/>
      </c>
      <c r="Y93" s="57" t="str">
        <f t="shared" si="8"/>
        <v/>
      </c>
      <c r="Z93" s="57" t="str">
        <f t="shared" si="9"/>
        <v/>
      </c>
      <c r="AA93" s="58" t="str">
        <f t="shared" si="10"/>
        <v/>
      </c>
      <c r="AB93" s="58" t="str">
        <f t="shared" si="11"/>
        <v/>
      </c>
      <c r="AC93" s="57" t="str">
        <f t="shared" si="12"/>
        <v/>
      </c>
      <c r="AD93" s="59" t="str">
        <f t="shared" si="13"/>
        <v/>
      </c>
      <c r="AE93" s="54" t="str">
        <f>IF($B93="","",IF(NOT(ISNUMBER($AA93)),"Aguardando fechamento",IF($P93&gt;0,"ACAO: "&amp;TEXT($P93,"0")&amp;" carga(s) terceirizada(s) de forma evitavel",IF(IF(ISNUMBER($Z93),$Z93,0)&gt;IFERROR(INDEX(Parâmetros!$G$5:$G$10,MATCH($C93,Parâmetros!$B$5:$B$10,0)),""),"ALERTA: terceiros acima da meta",IF($AA93&gt;IFERROR(INDEX(Parâmetros!$D$5:$D$10,MATCH($C93,Parâmetros!$B$5:$B$10,0)),""),"ALERTA: custo/km acima da meta","OK - dentro das metas")))))</f>
        <v/>
      </c>
    </row>
    <row r="94" spans="2:31" ht="15" customHeight="1" x14ac:dyDescent="0.3">
      <c r="B94" s="48"/>
      <c r="C94" s="49"/>
      <c r="D94" s="50"/>
      <c r="E94" s="51"/>
      <c r="F94" s="52"/>
      <c r="G94" s="51"/>
      <c r="H94" s="51"/>
      <c r="I94" s="53" t="str">
        <f>IF($B94="","",IFERROR($G94*IFERROR(INDEX(Parâmetros!$C$5:$C$10,MATCH($C94,Parâmetros!$B$5:$B$10,0)),"")/Parâmetros!$C$13,""))</f>
        <v/>
      </c>
      <c r="J94" s="53" t="str">
        <f>IF($B94="","",IFERROR($E94*IFERROR(INDEX(Parâmetros!$E$5:$E$10,MATCH($C94,Parâmetros!$B$5:$B$10,0)),"")-$I94,""))</f>
        <v/>
      </c>
      <c r="K94" s="54" t="str">
        <f>IF($B94="","",IF(NOT(ISNUMBER($J94)),"",IF($J94&lt;=0,"OK - frota cobre a meta do dia",IF($J94&lt;=Parâmetros!$C$15,"ATENCAO - faltam "&amp;TEXT($J94,"0")&amp;" viagem(ns) de frota","CRITICO - faltam "&amp;TEXT($J94,"0")&amp;" viagens: acionar plano"))))</f>
        <v/>
      </c>
      <c r="L94" s="51"/>
      <c r="M94" s="51"/>
      <c r="N94" s="51"/>
      <c r="O94" s="50"/>
      <c r="P94" s="51"/>
      <c r="Q94" s="51"/>
      <c r="R94" s="55"/>
      <c r="S94" s="56"/>
      <c r="T94" s="56"/>
      <c r="U94" s="56"/>
      <c r="V94" s="19"/>
      <c r="W94" s="51"/>
      <c r="X94" s="57" t="str">
        <f t="shared" si="7"/>
        <v/>
      </c>
      <c r="Y94" s="57" t="str">
        <f t="shared" si="8"/>
        <v/>
      </c>
      <c r="Z94" s="57" t="str">
        <f t="shared" si="9"/>
        <v/>
      </c>
      <c r="AA94" s="58" t="str">
        <f t="shared" si="10"/>
        <v/>
      </c>
      <c r="AB94" s="58" t="str">
        <f t="shared" si="11"/>
        <v/>
      </c>
      <c r="AC94" s="57" t="str">
        <f t="shared" si="12"/>
        <v/>
      </c>
      <c r="AD94" s="59" t="str">
        <f t="shared" si="13"/>
        <v/>
      </c>
      <c r="AE94" s="54" t="str">
        <f>IF($B94="","",IF(NOT(ISNUMBER($AA94)),"Aguardando fechamento",IF($P94&gt;0,"ACAO: "&amp;TEXT($P94,"0")&amp;" carga(s) terceirizada(s) de forma evitavel",IF(IF(ISNUMBER($Z94),$Z94,0)&gt;IFERROR(INDEX(Parâmetros!$G$5:$G$10,MATCH($C94,Parâmetros!$B$5:$B$10,0)),""),"ALERTA: terceiros acima da meta",IF($AA94&gt;IFERROR(INDEX(Parâmetros!$D$5:$D$10,MATCH($C94,Parâmetros!$B$5:$B$10,0)),""),"ALERTA: custo/km acima da meta","OK - dentro das metas")))))</f>
        <v/>
      </c>
    </row>
    <row r="95" spans="2:31" ht="15" customHeight="1" x14ac:dyDescent="0.3">
      <c r="B95" s="48"/>
      <c r="C95" s="49"/>
      <c r="D95" s="50"/>
      <c r="E95" s="51"/>
      <c r="F95" s="52"/>
      <c r="G95" s="51"/>
      <c r="H95" s="51"/>
      <c r="I95" s="53" t="str">
        <f>IF($B95="","",IFERROR($G95*IFERROR(INDEX(Parâmetros!$C$5:$C$10,MATCH($C95,Parâmetros!$B$5:$B$10,0)),"")/Parâmetros!$C$13,""))</f>
        <v/>
      </c>
      <c r="J95" s="53" t="str">
        <f>IF($B95="","",IFERROR($E95*IFERROR(INDEX(Parâmetros!$E$5:$E$10,MATCH($C95,Parâmetros!$B$5:$B$10,0)),"")-$I95,""))</f>
        <v/>
      </c>
      <c r="K95" s="54" t="str">
        <f>IF($B95="","",IF(NOT(ISNUMBER($J95)),"",IF($J95&lt;=0,"OK - frota cobre a meta do dia",IF($J95&lt;=Parâmetros!$C$15,"ATENCAO - faltam "&amp;TEXT($J95,"0")&amp;" viagem(ns) de frota","CRITICO - faltam "&amp;TEXT($J95,"0")&amp;" viagens: acionar plano"))))</f>
        <v/>
      </c>
      <c r="L95" s="51"/>
      <c r="M95" s="51"/>
      <c r="N95" s="51"/>
      <c r="O95" s="50"/>
      <c r="P95" s="51"/>
      <c r="Q95" s="51"/>
      <c r="R95" s="55"/>
      <c r="S95" s="56"/>
      <c r="T95" s="56"/>
      <c r="U95" s="56"/>
      <c r="V95" s="19"/>
      <c r="W95" s="51"/>
      <c r="X95" s="57" t="str">
        <f t="shared" si="7"/>
        <v/>
      </c>
      <c r="Y95" s="57" t="str">
        <f t="shared" si="8"/>
        <v/>
      </c>
      <c r="Z95" s="57" t="str">
        <f t="shared" si="9"/>
        <v/>
      </c>
      <c r="AA95" s="58" t="str">
        <f t="shared" si="10"/>
        <v/>
      </c>
      <c r="AB95" s="58" t="str">
        <f t="shared" si="11"/>
        <v/>
      </c>
      <c r="AC95" s="57" t="str">
        <f t="shared" si="12"/>
        <v/>
      </c>
      <c r="AD95" s="59" t="str">
        <f t="shared" si="13"/>
        <v/>
      </c>
      <c r="AE95" s="54" t="str">
        <f>IF($B95="","",IF(NOT(ISNUMBER($AA95)),"Aguardando fechamento",IF($P95&gt;0,"ACAO: "&amp;TEXT($P95,"0")&amp;" carga(s) terceirizada(s) de forma evitavel",IF(IF(ISNUMBER($Z95),$Z95,0)&gt;IFERROR(INDEX(Parâmetros!$G$5:$G$10,MATCH($C95,Parâmetros!$B$5:$B$10,0)),""),"ALERTA: terceiros acima da meta",IF($AA95&gt;IFERROR(INDEX(Parâmetros!$D$5:$D$10,MATCH($C95,Parâmetros!$B$5:$B$10,0)),""),"ALERTA: custo/km acima da meta","OK - dentro das metas")))))</f>
        <v/>
      </c>
    </row>
    <row r="96" spans="2:31" ht="15" customHeight="1" x14ac:dyDescent="0.3">
      <c r="B96" s="48"/>
      <c r="C96" s="49"/>
      <c r="D96" s="50"/>
      <c r="E96" s="51"/>
      <c r="F96" s="52"/>
      <c r="G96" s="51"/>
      <c r="H96" s="51"/>
      <c r="I96" s="53" t="str">
        <f>IF($B96="","",IFERROR($G96*IFERROR(INDEX(Parâmetros!$C$5:$C$10,MATCH($C96,Parâmetros!$B$5:$B$10,0)),"")/Parâmetros!$C$13,""))</f>
        <v/>
      </c>
      <c r="J96" s="53" t="str">
        <f>IF($B96="","",IFERROR($E96*IFERROR(INDEX(Parâmetros!$E$5:$E$10,MATCH($C96,Parâmetros!$B$5:$B$10,0)),"")-$I96,""))</f>
        <v/>
      </c>
      <c r="K96" s="54" t="str">
        <f>IF($B96="","",IF(NOT(ISNUMBER($J96)),"",IF($J96&lt;=0,"OK - frota cobre a meta do dia",IF($J96&lt;=Parâmetros!$C$15,"ATENCAO - faltam "&amp;TEXT($J96,"0")&amp;" viagem(ns) de frota","CRITICO - faltam "&amp;TEXT($J96,"0")&amp;" viagens: acionar plano"))))</f>
        <v/>
      </c>
      <c r="L96" s="51"/>
      <c r="M96" s="51"/>
      <c r="N96" s="51"/>
      <c r="O96" s="50"/>
      <c r="P96" s="51"/>
      <c r="Q96" s="51"/>
      <c r="R96" s="55"/>
      <c r="S96" s="56"/>
      <c r="T96" s="56"/>
      <c r="U96" s="56"/>
      <c r="V96" s="19"/>
      <c r="W96" s="51"/>
      <c r="X96" s="57" t="str">
        <f t="shared" si="7"/>
        <v/>
      </c>
      <c r="Y96" s="57" t="str">
        <f t="shared" si="8"/>
        <v/>
      </c>
      <c r="Z96" s="57" t="str">
        <f t="shared" si="9"/>
        <v/>
      </c>
      <c r="AA96" s="58" t="str">
        <f t="shared" si="10"/>
        <v/>
      </c>
      <c r="AB96" s="58" t="str">
        <f t="shared" si="11"/>
        <v/>
      </c>
      <c r="AC96" s="57" t="str">
        <f t="shared" si="12"/>
        <v/>
      </c>
      <c r="AD96" s="59" t="str">
        <f t="shared" si="13"/>
        <v/>
      </c>
      <c r="AE96" s="54" t="str">
        <f>IF($B96="","",IF(NOT(ISNUMBER($AA96)),"Aguardando fechamento",IF($P96&gt;0,"ACAO: "&amp;TEXT($P96,"0")&amp;" carga(s) terceirizada(s) de forma evitavel",IF(IF(ISNUMBER($Z96),$Z96,0)&gt;IFERROR(INDEX(Parâmetros!$G$5:$G$10,MATCH($C96,Parâmetros!$B$5:$B$10,0)),""),"ALERTA: terceiros acima da meta",IF($AA96&gt;IFERROR(INDEX(Parâmetros!$D$5:$D$10,MATCH($C96,Parâmetros!$B$5:$B$10,0)),""),"ALERTA: custo/km acima da meta","OK - dentro das metas")))))</f>
        <v/>
      </c>
    </row>
    <row r="97" spans="2:31" ht="15" customHeight="1" x14ac:dyDescent="0.3">
      <c r="B97" s="48"/>
      <c r="C97" s="49"/>
      <c r="D97" s="50"/>
      <c r="E97" s="51"/>
      <c r="F97" s="52"/>
      <c r="G97" s="51"/>
      <c r="H97" s="51"/>
      <c r="I97" s="53" t="str">
        <f>IF($B97="","",IFERROR($G97*IFERROR(INDEX(Parâmetros!$C$5:$C$10,MATCH($C97,Parâmetros!$B$5:$B$10,0)),"")/Parâmetros!$C$13,""))</f>
        <v/>
      </c>
      <c r="J97" s="53" t="str">
        <f>IF($B97="","",IFERROR($E97*IFERROR(INDEX(Parâmetros!$E$5:$E$10,MATCH($C97,Parâmetros!$B$5:$B$10,0)),"")-$I97,""))</f>
        <v/>
      </c>
      <c r="K97" s="54" t="str">
        <f>IF($B97="","",IF(NOT(ISNUMBER($J97)),"",IF($J97&lt;=0,"OK - frota cobre a meta do dia",IF($J97&lt;=Parâmetros!$C$15,"ATENCAO - faltam "&amp;TEXT($J97,"0")&amp;" viagem(ns) de frota","CRITICO - faltam "&amp;TEXT($J97,"0")&amp;" viagens: acionar plano"))))</f>
        <v/>
      </c>
      <c r="L97" s="51"/>
      <c r="M97" s="51"/>
      <c r="N97" s="51"/>
      <c r="O97" s="50"/>
      <c r="P97" s="51"/>
      <c r="Q97" s="51"/>
      <c r="R97" s="55"/>
      <c r="S97" s="56"/>
      <c r="T97" s="56"/>
      <c r="U97" s="56"/>
      <c r="V97" s="19"/>
      <c r="W97" s="51"/>
      <c r="X97" s="57" t="str">
        <f t="shared" si="7"/>
        <v/>
      </c>
      <c r="Y97" s="57" t="str">
        <f t="shared" si="8"/>
        <v/>
      </c>
      <c r="Z97" s="57" t="str">
        <f t="shared" si="9"/>
        <v/>
      </c>
      <c r="AA97" s="58" t="str">
        <f t="shared" si="10"/>
        <v/>
      </c>
      <c r="AB97" s="58" t="str">
        <f t="shared" si="11"/>
        <v/>
      </c>
      <c r="AC97" s="57" t="str">
        <f t="shared" si="12"/>
        <v/>
      </c>
      <c r="AD97" s="59" t="str">
        <f t="shared" si="13"/>
        <v/>
      </c>
      <c r="AE97" s="54" t="str">
        <f>IF($B97="","",IF(NOT(ISNUMBER($AA97)),"Aguardando fechamento",IF($P97&gt;0,"ACAO: "&amp;TEXT($P97,"0")&amp;" carga(s) terceirizada(s) de forma evitavel",IF(IF(ISNUMBER($Z97),$Z97,0)&gt;IFERROR(INDEX(Parâmetros!$G$5:$G$10,MATCH($C97,Parâmetros!$B$5:$B$10,0)),""),"ALERTA: terceiros acima da meta",IF($AA97&gt;IFERROR(INDEX(Parâmetros!$D$5:$D$10,MATCH($C97,Parâmetros!$B$5:$B$10,0)),""),"ALERTA: custo/km acima da meta","OK - dentro das metas")))))</f>
        <v/>
      </c>
    </row>
    <row r="98" spans="2:31" ht="15" customHeight="1" x14ac:dyDescent="0.3">
      <c r="B98" s="48"/>
      <c r="C98" s="49"/>
      <c r="D98" s="50"/>
      <c r="E98" s="51"/>
      <c r="F98" s="52"/>
      <c r="G98" s="51"/>
      <c r="H98" s="51"/>
      <c r="I98" s="53" t="str">
        <f>IF($B98="","",IFERROR($G98*IFERROR(INDEX(Parâmetros!$C$5:$C$10,MATCH($C98,Parâmetros!$B$5:$B$10,0)),"")/Parâmetros!$C$13,""))</f>
        <v/>
      </c>
      <c r="J98" s="53" t="str">
        <f>IF($B98="","",IFERROR($E98*IFERROR(INDEX(Parâmetros!$E$5:$E$10,MATCH($C98,Parâmetros!$B$5:$B$10,0)),"")-$I98,""))</f>
        <v/>
      </c>
      <c r="K98" s="54" t="str">
        <f>IF($B98="","",IF(NOT(ISNUMBER($J98)),"",IF($J98&lt;=0,"OK - frota cobre a meta do dia",IF($J98&lt;=Parâmetros!$C$15,"ATENCAO - faltam "&amp;TEXT($J98,"0")&amp;" viagem(ns) de frota","CRITICO - faltam "&amp;TEXT($J98,"0")&amp;" viagens: acionar plano"))))</f>
        <v/>
      </c>
      <c r="L98" s="51"/>
      <c r="M98" s="51"/>
      <c r="N98" s="51"/>
      <c r="O98" s="50"/>
      <c r="P98" s="51"/>
      <c r="Q98" s="51"/>
      <c r="R98" s="55"/>
      <c r="S98" s="56"/>
      <c r="T98" s="56"/>
      <c r="U98" s="56"/>
      <c r="V98" s="19"/>
      <c r="W98" s="51"/>
      <c r="X98" s="57" t="str">
        <f t="shared" si="7"/>
        <v/>
      </c>
      <c r="Y98" s="57" t="str">
        <f t="shared" si="8"/>
        <v/>
      </c>
      <c r="Z98" s="57" t="str">
        <f t="shared" si="9"/>
        <v/>
      </c>
      <c r="AA98" s="58" t="str">
        <f t="shared" si="10"/>
        <v/>
      </c>
      <c r="AB98" s="58" t="str">
        <f t="shared" si="11"/>
        <v/>
      </c>
      <c r="AC98" s="57" t="str">
        <f t="shared" si="12"/>
        <v/>
      </c>
      <c r="AD98" s="59" t="str">
        <f t="shared" si="13"/>
        <v/>
      </c>
      <c r="AE98" s="54" t="str">
        <f>IF($B98="","",IF(NOT(ISNUMBER($AA98)),"Aguardando fechamento",IF($P98&gt;0,"ACAO: "&amp;TEXT($P98,"0")&amp;" carga(s) terceirizada(s) de forma evitavel",IF(IF(ISNUMBER($Z98),$Z98,0)&gt;IFERROR(INDEX(Parâmetros!$G$5:$G$10,MATCH($C98,Parâmetros!$B$5:$B$10,0)),""),"ALERTA: terceiros acima da meta",IF($AA98&gt;IFERROR(INDEX(Parâmetros!$D$5:$D$10,MATCH($C98,Parâmetros!$B$5:$B$10,0)),""),"ALERTA: custo/km acima da meta","OK - dentro das metas")))))</f>
        <v/>
      </c>
    </row>
    <row r="99" spans="2:31" ht="15" customHeight="1" x14ac:dyDescent="0.3">
      <c r="B99" s="48"/>
      <c r="C99" s="49"/>
      <c r="D99" s="50"/>
      <c r="E99" s="51"/>
      <c r="F99" s="52"/>
      <c r="G99" s="51"/>
      <c r="H99" s="51"/>
      <c r="I99" s="53" t="str">
        <f>IF($B99="","",IFERROR($G99*IFERROR(INDEX(Parâmetros!$C$5:$C$10,MATCH($C99,Parâmetros!$B$5:$B$10,0)),"")/Parâmetros!$C$13,""))</f>
        <v/>
      </c>
      <c r="J99" s="53" t="str">
        <f>IF($B99="","",IFERROR($E99*IFERROR(INDEX(Parâmetros!$E$5:$E$10,MATCH($C99,Parâmetros!$B$5:$B$10,0)),"")-$I99,""))</f>
        <v/>
      </c>
      <c r="K99" s="54" t="str">
        <f>IF($B99="","",IF(NOT(ISNUMBER($J99)),"",IF($J99&lt;=0,"OK - frota cobre a meta do dia",IF($J99&lt;=Parâmetros!$C$15,"ATENCAO - faltam "&amp;TEXT($J99,"0")&amp;" viagem(ns) de frota","CRITICO - faltam "&amp;TEXT($J99,"0")&amp;" viagens: acionar plano"))))</f>
        <v/>
      </c>
      <c r="L99" s="51"/>
      <c r="M99" s="51"/>
      <c r="N99" s="51"/>
      <c r="O99" s="50"/>
      <c r="P99" s="51"/>
      <c r="Q99" s="51"/>
      <c r="R99" s="55"/>
      <c r="S99" s="56"/>
      <c r="T99" s="56"/>
      <c r="U99" s="56"/>
      <c r="V99" s="19"/>
      <c r="W99" s="51"/>
      <c r="X99" s="57" t="str">
        <f t="shared" si="7"/>
        <v/>
      </c>
      <c r="Y99" s="57" t="str">
        <f t="shared" si="8"/>
        <v/>
      </c>
      <c r="Z99" s="57" t="str">
        <f t="shared" si="9"/>
        <v/>
      </c>
      <c r="AA99" s="58" t="str">
        <f t="shared" si="10"/>
        <v/>
      </c>
      <c r="AB99" s="58" t="str">
        <f t="shared" si="11"/>
        <v/>
      </c>
      <c r="AC99" s="57" t="str">
        <f t="shared" si="12"/>
        <v/>
      </c>
      <c r="AD99" s="59" t="str">
        <f t="shared" si="13"/>
        <v/>
      </c>
      <c r="AE99" s="54" t="str">
        <f>IF($B99="","",IF(NOT(ISNUMBER($AA99)),"Aguardando fechamento",IF($P99&gt;0,"ACAO: "&amp;TEXT($P99,"0")&amp;" carga(s) terceirizada(s) de forma evitavel",IF(IF(ISNUMBER($Z99),$Z99,0)&gt;IFERROR(INDEX(Parâmetros!$G$5:$G$10,MATCH($C99,Parâmetros!$B$5:$B$10,0)),""),"ALERTA: terceiros acima da meta",IF($AA99&gt;IFERROR(INDEX(Parâmetros!$D$5:$D$10,MATCH($C99,Parâmetros!$B$5:$B$10,0)),""),"ALERTA: custo/km acima da meta","OK - dentro das metas")))))</f>
        <v/>
      </c>
    </row>
    <row r="100" spans="2:31" ht="15" customHeight="1" x14ac:dyDescent="0.3">
      <c r="B100" s="48"/>
      <c r="C100" s="49"/>
      <c r="D100" s="50"/>
      <c r="E100" s="51"/>
      <c r="F100" s="52"/>
      <c r="G100" s="51"/>
      <c r="H100" s="51"/>
      <c r="I100" s="53" t="str">
        <f>IF($B100="","",IFERROR($G100*IFERROR(INDEX(Parâmetros!$C$5:$C$10,MATCH($C100,Parâmetros!$B$5:$B$10,0)),"")/Parâmetros!$C$13,""))</f>
        <v/>
      </c>
      <c r="J100" s="53" t="str">
        <f>IF($B100="","",IFERROR($E100*IFERROR(INDEX(Parâmetros!$E$5:$E$10,MATCH($C100,Parâmetros!$B$5:$B$10,0)),"")-$I100,""))</f>
        <v/>
      </c>
      <c r="K100" s="54" t="str">
        <f>IF($B100="","",IF(NOT(ISNUMBER($J100)),"",IF($J100&lt;=0,"OK - frota cobre a meta do dia",IF($J100&lt;=Parâmetros!$C$15,"ATENCAO - faltam "&amp;TEXT($J100,"0")&amp;" viagem(ns) de frota","CRITICO - faltam "&amp;TEXT($J100,"0")&amp;" viagens: acionar plano"))))</f>
        <v/>
      </c>
      <c r="L100" s="51"/>
      <c r="M100" s="51"/>
      <c r="N100" s="51"/>
      <c r="O100" s="50"/>
      <c r="P100" s="51"/>
      <c r="Q100" s="51"/>
      <c r="R100" s="55"/>
      <c r="S100" s="56"/>
      <c r="T100" s="56"/>
      <c r="U100" s="56"/>
      <c r="V100" s="19"/>
      <c r="W100" s="51"/>
      <c r="X100" s="57" t="str">
        <f t="shared" si="7"/>
        <v/>
      </c>
      <c r="Y100" s="57" t="str">
        <f t="shared" si="8"/>
        <v/>
      </c>
      <c r="Z100" s="57" t="str">
        <f t="shared" si="9"/>
        <v/>
      </c>
      <c r="AA100" s="58" t="str">
        <f t="shared" si="10"/>
        <v/>
      </c>
      <c r="AB100" s="58" t="str">
        <f t="shared" si="11"/>
        <v/>
      </c>
      <c r="AC100" s="57" t="str">
        <f t="shared" si="12"/>
        <v/>
      </c>
      <c r="AD100" s="59" t="str">
        <f t="shared" si="13"/>
        <v/>
      </c>
      <c r="AE100" s="54" t="str">
        <f>IF($B100="","",IF(NOT(ISNUMBER($AA100)),"Aguardando fechamento",IF($P100&gt;0,"ACAO: "&amp;TEXT($P100,"0")&amp;" carga(s) terceirizada(s) de forma evitavel",IF(IF(ISNUMBER($Z100),$Z100,0)&gt;IFERROR(INDEX(Parâmetros!$G$5:$G$10,MATCH($C100,Parâmetros!$B$5:$B$10,0)),""),"ALERTA: terceiros acima da meta",IF($AA100&gt;IFERROR(INDEX(Parâmetros!$D$5:$D$10,MATCH($C100,Parâmetros!$B$5:$B$10,0)),""),"ALERTA: custo/km acima da meta","OK - dentro das metas")))))</f>
        <v/>
      </c>
    </row>
    <row r="101" spans="2:31" ht="15" customHeight="1" x14ac:dyDescent="0.3">
      <c r="B101" s="48"/>
      <c r="C101" s="49"/>
      <c r="D101" s="50"/>
      <c r="E101" s="51"/>
      <c r="F101" s="52"/>
      <c r="G101" s="51"/>
      <c r="H101" s="51"/>
      <c r="I101" s="53" t="str">
        <f>IF($B101="","",IFERROR($G101*IFERROR(INDEX(Parâmetros!$C$5:$C$10,MATCH($C101,Parâmetros!$B$5:$B$10,0)),"")/Parâmetros!$C$13,""))</f>
        <v/>
      </c>
      <c r="J101" s="53" t="str">
        <f>IF($B101="","",IFERROR($E101*IFERROR(INDEX(Parâmetros!$E$5:$E$10,MATCH($C101,Parâmetros!$B$5:$B$10,0)),"")-$I101,""))</f>
        <v/>
      </c>
      <c r="K101" s="54" t="str">
        <f>IF($B101="","",IF(NOT(ISNUMBER($J101)),"",IF($J101&lt;=0,"OK - frota cobre a meta do dia",IF($J101&lt;=Parâmetros!$C$15,"ATENCAO - faltam "&amp;TEXT($J101,"0")&amp;" viagem(ns) de frota","CRITICO - faltam "&amp;TEXT($J101,"0")&amp;" viagens: acionar plano"))))</f>
        <v/>
      </c>
      <c r="L101" s="51"/>
      <c r="M101" s="51"/>
      <c r="N101" s="51"/>
      <c r="O101" s="50"/>
      <c r="P101" s="51"/>
      <c r="Q101" s="51"/>
      <c r="R101" s="55"/>
      <c r="S101" s="56"/>
      <c r="T101" s="56"/>
      <c r="U101" s="56"/>
      <c r="V101" s="19"/>
      <c r="W101" s="51"/>
      <c r="X101" s="57" t="str">
        <f t="shared" si="7"/>
        <v/>
      </c>
      <c r="Y101" s="57" t="str">
        <f t="shared" si="8"/>
        <v/>
      </c>
      <c r="Z101" s="57" t="str">
        <f t="shared" si="9"/>
        <v/>
      </c>
      <c r="AA101" s="58" t="str">
        <f t="shared" si="10"/>
        <v/>
      </c>
      <c r="AB101" s="58" t="str">
        <f t="shared" si="11"/>
        <v/>
      </c>
      <c r="AC101" s="57" t="str">
        <f t="shared" si="12"/>
        <v/>
      </c>
      <c r="AD101" s="59" t="str">
        <f t="shared" si="13"/>
        <v/>
      </c>
      <c r="AE101" s="54" t="str">
        <f>IF($B101="","",IF(NOT(ISNUMBER($AA101)),"Aguardando fechamento",IF($P101&gt;0,"ACAO: "&amp;TEXT($P101,"0")&amp;" carga(s) terceirizada(s) de forma evitavel",IF(IF(ISNUMBER($Z101),$Z101,0)&gt;IFERROR(INDEX(Parâmetros!$G$5:$G$10,MATCH($C101,Parâmetros!$B$5:$B$10,0)),""),"ALERTA: terceiros acima da meta",IF($AA101&gt;IFERROR(INDEX(Parâmetros!$D$5:$D$10,MATCH($C101,Parâmetros!$B$5:$B$10,0)),""),"ALERTA: custo/km acima da meta","OK - dentro das metas")))))</f>
        <v/>
      </c>
    </row>
    <row r="102" spans="2:31" ht="15" customHeight="1" x14ac:dyDescent="0.3">
      <c r="B102" s="48"/>
      <c r="C102" s="49"/>
      <c r="D102" s="50"/>
      <c r="E102" s="51"/>
      <c r="F102" s="52"/>
      <c r="G102" s="51"/>
      <c r="H102" s="51"/>
      <c r="I102" s="53" t="str">
        <f>IF($B102="","",IFERROR($G102*IFERROR(INDEX(Parâmetros!$C$5:$C$10,MATCH($C102,Parâmetros!$B$5:$B$10,0)),"")/Parâmetros!$C$13,""))</f>
        <v/>
      </c>
      <c r="J102" s="53" t="str">
        <f>IF($B102="","",IFERROR($E102*IFERROR(INDEX(Parâmetros!$E$5:$E$10,MATCH($C102,Parâmetros!$B$5:$B$10,0)),"")-$I102,""))</f>
        <v/>
      </c>
      <c r="K102" s="54" t="str">
        <f>IF($B102="","",IF(NOT(ISNUMBER($J102)),"",IF($J102&lt;=0,"OK - frota cobre a meta do dia",IF($J102&lt;=Parâmetros!$C$15,"ATENCAO - faltam "&amp;TEXT($J102,"0")&amp;" viagem(ns) de frota","CRITICO - faltam "&amp;TEXT($J102,"0")&amp;" viagens: acionar plano"))))</f>
        <v/>
      </c>
      <c r="L102" s="51"/>
      <c r="M102" s="51"/>
      <c r="N102" s="51"/>
      <c r="O102" s="50"/>
      <c r="P102" s="51"/>
      <c r="Q102" s="51"/>
      <c r="R102" s="55"/>
      <c r="S102" s="56"/>
      <c r="T102" s="56"/>
      <c r="U102" s="56"/>
      <c r="V102" s="19"/>
      <c r="W102" s="51"/>
      <c r="X102" s="57" t="str">
        <f t="shared" si="7"/>
        <v/>
      </c>
      <c r="Y102" s="57" t="str">
        <f t="shared" si="8"/>
        <v/>
      </c>
      <c r="Z102" s="57" t="str">
        <f t="shared" si="9"/>
        <v/>
      </c>
      <c r="AA102" s="58" t="str">
        <f t="shared" si="10"/>
        <v/>
      </c>
      <c r="AB102" s="58" t="str">
        <f t="shared" si="11"/>
        <v/>
      </c>
      <c r="AC102" s="57" t="str">
        <f t="shared" si="12"/>
        <v/>
      </c>
      <c r="AD102" s="59" t="str">
        <f t="shared" si="13"/>
        <v/>
      </c>
      <c r="AE102" s="54" t="str">
        <f>IF($B102="","",IF(NOT(ISNUMBER($AA102)),"Aguardando fechamento",IF($P102&gt;0,"ACAO: "&amp;TEXT($P102,"0")&amp;" carga(s) terceirizada(s) de forma evitavel",IF(IF(ISNUMBER($Z102),$Z102,0)&gt;IFERROR(INDEX(Parâmetros!$G$5:$G$10,MATCH($C102,Parâmetros!$B$5:$B$10,0)),""),"ALERTA: terceiros acima da meta",IF($AA102&gt;IFERROR(INDEX(Parâmetros!$D$5:$D$10,MATCH($C102,Parâmetros!$B$5:$B$10,0)),""),"ALERTA: custo/km acima da meta","OK - dentro das metas")))))</f>
        <v/>
      </c>
    </row>
    <row r="103" spans="2:31" ht="15" customHeight="1" x14ac:dyDescent="0.3">
      <c r="B103" s="48"/>
      <c r="C103" s="49"/>
      <c r="D103" s="50"/>
      <c r="E103" s="51"/>
      <c r="F103" s="52"/>
      <c r="G103" s="51"/>
      <c r="H103" s="51"/>
      <c r="I103" s="53" t="str">
        <f>IF($B103="","",IFERROR($G103*IFERROR(INDEX(Parâmetros!$C$5:$C$10,MATCH($C103,Parâmetros!$B$5:$B$10,0)),"")/Parâmetros!$C$13,""))</f>
        <v/>
      </c>
      <c r="J103" s="53" t="str">
        <f>IF($B103="","",IFERROR($E103*IFERROR(INDEX(Parâmetros!$E$5:$E$10,MATCH($C103,Parâmetros!$B$5:$B$10,0)),"")-$I103,""))</f>
        <v/>
      </c>
      <c r="K103" s="54" t="str">
        <f>IF($B103="","",IF(NOT(ISNUMBER($J103)),"",IF($J103&lt;=0,"OK - frota cobre a meta do dia",IF($J103&lt;=Parâmetros!$C$15,"ATENCAO - faltam "&amp;TEXT($J103,"0")&amp;" viagem(ns) de frota","CRITICO - faltam "&amp;TEXT($J103,"0")&amp;" viagens: acionar plano"))))</f>
        <v/>
      </c>
      <c r="L103" s="51"/>
      <c r="M103" s="51"/>
      <c r="N103" s="51"/>
      <c r="O103" s="50"/>
      <c r="P103" s="51"/>
      <c r="Q103" s="51"/>
      <c r="R103" s="55"/>
      <c r="S103" s="56"/>
      <c r="T103" s="56"/>
      <c r="U103" s="56"/>
      <c r="V103" s="19"/>
      <c r="W103" s="51"/>
      <c r="X103" s="57" t="str">
        <f t="shared" si="7"/>
        <v/>
      </c>
      <c r="Y103" s="57" t="str">
        <f t="shared" si="8"/>
        <v/>
      </c>
      <c r="Z103" s="57" t="str">
        <f t="shared" si="9"/>
        <v/>
      </c>
      <c r="AA103" s="58" t="str">
        <f t="shared" si="10"/>
        <v/>
      </c>
      <c r="AB103" s="58" t="str">
        <f t="shared" si="11"/>
        <v/>
      </c>
      <c r="AC103" s="57" t="str">
        <f t="shared" si="12"/>
        <v/>
      </c>
      <c r="AD103" s="59" t="str">
        <f t="shared" si="13"/>
        <v/>
      </c>
      <c r="AE103" s="54" t="str">
        <f>IF($B103="","",IF(NOT(ISNUMBER($AA103)),"Aguardando fechamento",IF($P103&gt;0,"ACAO: "&amp;TEXT($P103,"0")&amp;" carga(s) terceirizada(s) de forma evitavel",IF(IF(ISNUMBER($Z103),$Z103,0)&gt;IFERROR(INDEX(Parâmetros!$G$5:$G$10,MATCH($C103,Parâmetros!$B$5:$B$10,0)),""),"ALERTA: terceiros acima da meta",IF($AA103&gt;IFERROR(INDEX(Parâmetros!$D$5:$D$10,MATCH($C103,Parâmetros!$B$5:$B$10,0)),""),"ALERTA: custo/km acima da meta","OK - dentro das metas")))))</f>
        <v/>
      </c>
    </row>
    <row r="104" spans="2:31" ht="15" customHeight="1" x14ac:dyDescent="0.3">
      <c r="B104" s="48"/>
      <c r="C104" s="49"/>
      <c r="D104" s="50"/>
      <c r="E104" s="51"/>
      <c r="F104" s="52"/>
      <c r="G104" s="51"/>
      <c r="H104" s="51"/>
      <c r="I104" s="53" t="str">
        <f>IF($B104="","",IFERROR($G104*IFERROR(INDEX(Parâmetros!$C$5:$C$10,MATCH($C104,Parâmetros!$B$5:$B$10,0)),"")/Parâmetros!$C$13,""))</f>
        <v/>
      </c>
      <c r="J104" s="53" t="str">
        <f>IF($B104="","",IFERROR($E104*IFERROR(INDEX(Parâmetros!$E$5:$E$10,MATCH($C104,Parâmetros!$B$5:$B$10,0)),"")-$I104,""))</f>
        <v/>
      </c>
      <c r="K104" s="54" t="str">
        <f>IF($B104="","",IF(NOT(ISNUMBER($J104)),"",IF($J104&lt;=0,"OK - frota cobre a meta do dia",IF($J104&lt;=Parâmetros!$C$15,"ATENCAO - faltam "&amp;TEXT($J104,"0")&amp;" viagem(ns) de frota","CRITICO - faltam "&amp;TEXT($J104,"0")&amp;" viagens: acionar plano"))))</f>
        <v/>
      </c>
      <c r="L104" s="51"/>
      <c r="M104" s="51"/>
      <c r="N104" s="51"/>
      <c r="O104" s="50"/>
      <c r="P104" s="51"/>
      <c r="Q104" s="51"/>
      <c r="R104" s="55"/>
      <c r="S104" s="56"/>
      <c r="T104" s="56"/>
      <c r="U104" s="56"/>
      <c r="V104" s="19"/>
      <c r="W104" s="51"/>
      <c r="X104" s="57" t="str">
        <f t="shared" si="7"/>
        <v/>
      </c>
      <c r="Y104" s="57" t="str">
        <f t="shared" si="8"/>
        <v/>
      </c>
      <c r="Z104" s="57" t="str">
        <f t="shared" si="9"/>
        <v/>
      </c>
      <c r="AA104" s="58" t="str">
        <f t="shared" si="10"/>
        <v/>
      </c>
      <c r="AB104" s="58" t="str">
        <f t="shared" si="11"/>
        <v/>
      </c>
      <c r="AC104" s="57" t="str">
        <f t="shared" si="12"/>
        <v/>
      </c>
      <c r="AD104" s="59" t="str">
        <f t="shared" si="13"/>
        <v/>
      </c>
      <c r="AE104" s="54" t="str">
        <f>IF($B104="","",IF(NOT(ISNUMBER($AA104)),"Aguardando fechamento",IF($P104&gt;0,"ACAO: "&amp;TEXT($P104,"0")&amp;" carga(s) terceirizada(s) de forma evitavel",IF(IF(ISNUMBER($Z104),$Z104,0)&gt;IFERROR(INDEX(Parâmetros!$G$5:$G$10,MATCH($C104,Parâmetros!$B$5:$B$10,0)),""),"ALERTA: terceiros acima da meta",IF($AA104&gt;IFERROR(INDEX(Parâmetros!$D$5:$D$10,MATCH($C104,Parâmetros!$B$5:$B$10,0)),""),"ALERTA: custo/km acima da meta","OK - dentro das metas")))))</f>
        <v/>
      </c>
    </row>
    <row r="105" spans="2:31" ht="15" customHeight="1" x14ac:dyDescent="0.3">
      <c r="B105" s="48"/>
      <c r="C105" s="49"/>
      <c r="D105" s="50"/>
      <c r="E105" s="51"/>
      <c r="F105" s="52"/>
      <c r="G105" s="51"/>
      <c r="H105" s="51"/>
      <c r="I105" s="53" t="str">
        <f>IF($B105="","",IFERROR($G105*IFERROR(INDEX(Parâmetros!$C$5:$C$10,MATCH($C105,Parâmetros!$B$5:$B$10,0)),"")/Parâmetros!$C$13,""))</f>
        <v/>
      </c>
      <c r="J105" s="53" t="str">
        <f>IF($B105="","",IFERROR($E105*IFERROR(INDEX(Parâmetros!$E$5:$E$10,MATCH($C105,Parâmetros!$B$5:$B$10,0)),"")-$I105,""))</f>
        <v/>
      </c>
      <c r="K105" s="54" t="str">
        <f>IF($B105="","",IF(NOT(ISNUMBER($J105)),"",IF($J105&lt;=0,"OK - frota cobre a meta do dia",IF($J105&lt;=Parâmetros!$C$15,"ATENCAO - faltam "&amp;TEXT($J105,"0")&amp;" viagem(ns) de frota","CRITICO - faltam "&amp;TEXT($J105,"0")&amp;" viagens: acionar plano"))))</f>
        <v/>
      </c>
      <c r="L105" s="51"/>
      <c r="M105" s="51"/>
      <c r="N105" s="51"/>
      <c r="O105" s="50"/>
      <c r="P105" s="51"/>
      <c r="Q105" s="51"/>
      <c r="R105" s="55"/>
      <c r="S105" s="56"/>
      <c r="T105" s="56"/>
      <c r="U105" s="56"/>
      <c r="V105" s="19"/>
      <c r="W105" s="51"/>
      <c r="X105" s="57" t="str">
        <f t="shared" si="7"/>
        <v/>
      </c>
      <c r="Y105" s="57" t="str">
        <f t="shared" si="8"/>
        <v/>
      </c>
      <c r="Z105" s="57" t="str">
        <f t="shared" si="9"/>
        <v/>
      </c>
      <c r="AA105" s="58" t="str">
        <f t="shared" si="10"/>
        <v/>
      </c>
      <c r="AB105" s="58" t="str">
        <f t="shared" si="11"/>
        <v/>
      </c>
      <c r="AC105" s="57" t="str">
        <f t="shared" si="12"/>
        <v/>
      </c>
      <c r="AD105" s="59" t="str">
        <f t="shared" si="13"/>
        <v/>
      </c>
      <c r="AE105" s="54" t="str">
        <f>IF($B105="","",IF(NOT(ISNUMBER($AA105)),"Aguardando fechamento",IF($P105&gt;0,"ACAO: "&amp;TEXT($P105,"0")&amp;" carga(s) terceirizada(s) de forma evitavel",IF(IF(ISNUMBER($Z105),$Z105,0)&gt;IFERROR(INDEX(Parâmetros!$G$5:$G$10,MATCH($C105,Parâmetros!$B$5:$B$10,0)),""),"ALERTA: terceiros acima da meta",IF($AA105&gt;IFERROR(INDEX(Parâmetros!$D$5:$D$10,MATCH($C105,Parâmetros!$B$5:$B$10,0)),""),"ALERTA: custo/km acima da meta","OK - dentro das metas")))))</f>
        <v/>
      </c>
    </row>
    <row r="106" spans="2:31" ht="15" customHeight="1" x14ac:dyDescent="0.3">
      <c r="B106" s="48"/>
      <c r="C106" s="49"/>
      <c r="D106" s="50"/>
      <c r="E106" s="51"/>
      <c r="F106" s="52"/>
      <c r="G106" s="51"/>
      <c r="H106" s="51"/>
      <c r="I106" s="53" t="str">
        <f>IF($B106="","",IFERROR($G106*IFERROR(INDEX(Parâmetros!$C$5:$C$10,MATCH($C106,Parâmetros!$B$5:$B$10,0)),"")/Parâmetros!$C$13,""))</f>
        <v/>
      </c>
      <c r="J106" s="53" t="str">
        <f>IF($B106="","",IFERROR($E106*IFERROR(INDEX(Parâmetros!$E$5:$E$10,MATCH($C106,Parâmetros!$B$5:$B$10,0)),"")-$I106,""))</f>
        <v/>
      </c>
      <c r="K106" s="54" t="str">
        <f>IF($B106="","",IF(NOT(ISNUMBER($J106)),"",IF($J106&lt;=0,"OK - frota cobre a meta do dia",IF($J106&lt;=Parâmetros!$C$15,"ATENCAO - faltam "&amp;TEXT($J106,"0")&amp;" viagem(ns) de frota","CRITICO - faltam "&amp;TEXT($J106,"0")&amp;" viagens: acionar plano"))))</f>
        <v/>
      </c>
      <c r="L106" s="51"/>
      <c r="M106" s="51"/>
      <c r="N106" s="51"/>
      <c r="O106" s="50"/>
      <c r="P106" s="51"/>
      <c r="Q106" s="51"/>
      <c r="R106" s="55"/>
      <c r="S106" s="56"/>
      <c r="T106" s="56"/>
      <c r="U106" s="56"/>
      <c r="V106" s="19"/>
      <c r="W106" s="51"/>
      <c r="X106" s="57" t="str">
        <f t="shared" si="7"/>
        <v/>
      </c>
      <c r="Y106" s="57" t="str">
        <f t="shared" si="8"/>
        <v/>
      </c>
      <c r="Z106" s="57" t="str">
        <f t="shared" si="9"/>
        <v/>
      </c>
      <c r="AA106" s="58" t="str">
        <f t="shared" si="10"/>
        <v/>
      </c>
      <c r="AB106" s="58" t="str">
        <f t="shared" si="11"/>
        <v/>
      </c>
      <c r="AC106" s="57" t="str">
        <f t="shared" si="12"/>
        <v/>
      </c>
      <c r="AD106" s="59" t="str">
        <f t="shared" si="13"/>
        <v/>
      </c>
      <c r="AE106" s="54" t="str">
        <f>IF($B106="","",IF(NOT(ISNUMBER($AA106)),"Aguardando fechamento",IF($P106&gt;0,"ACAO: "&amp;TEXT($P106,"0")&amp;" carga(s) terceirizada(s) de forma evitavel",IF(IF(ISNUMBER($Z106),$Z106,0)&gt;IFERROR(INDEX(Parâmetros!$G$5:$G$10,MATCH($C106,Parâmetros!$B$5:$B$10,0)),""),"ALERTA: terceiros acima da meta",IF($AA106&gt;IFERROR(INDEX(Parâmetros!$D$5:$D$10,MATCH($C106,Parâmetros!$B$5:$B$10,0)),""),"ALERTA: custo/km acima da meta","OK - dentro das metas")))))</f>
        <v/>
      </c>
    </row>
    <row r="107" spans="2:31" ht="15" customHeight="1" x14ac:dyDescent="0.3">
      <c r="B107" s="48"/>
      <c r="C107" s="49"/>
      <c r="D107" s="50"/>
      <c r="E107" s="51"/>
      <c r="F107" s="52"/>
      <c r="G107" s="51"/>
      <c r="H107" s="51"/>
      <c r="I107" s="53" t="str">
        <f>IF($B107="","",IFERROR($G107*IFERROR(INDEX(Parâmetros!$C$5:$C$10,MATCH($C107,Parâmetros!$B$5:$B$10,0)),"")/Parâmetros!$C$13,""))</f>
        <v/>
      </c>
      <c r="J107" s="53" t="str">
        <f>IF($B107="","",IFERROR($E107*IFERROR(INDEX(Parâmetros!$E$5:$E$10,MATCH($C107,Parâmetros!$B$5:$B$10,0)),"")-$I107,""))</f>
        <v/>
      </c>
      <c r="K107" s="54" t="str">
        <f>IF($B107="","",IF(NOT(ISNUMBER($J107)),"",IF($J107&lt;=0,"OK - frota cobre a meta do dia",IF($J107&lt;=Parâmetros!$C$15,"ATENCAO - faltam "&amp;TEXT($J107,"0")&amp;" viagem(ns) de frota","CRITICO - faltam "&amp;TEXT($J107,"0")&amp;" viagens: acionar plano"))))</f>
        <v/>
      </c>
      <c r="L107" s="51"/>
      <c r="M107" s="51"/>
      <c r="N107" s="51"/>
      <c r="O107" s="50"/>
      <c r="P107" s="51"/>
      <c r="Q107" s="51"/>
      <c r="R107" s="55"/>
      <c r="S107" s="56"/>
      <c r="T107" s="56"/>
      <c r="U107" s="56"/>
      <c r="V107" s="19"/>
      <c r="W107" s="51"/>
      <c r="X107" s="57" t="str">
        <f t="shared" si="7"/>
        <v/>
      </c>
      <c r="Y107" s="57" t="str">
        <f t="shared" si="8"/>
        <v/>
      </c>
      <c r="Z107" s="57" t="str">
        <f t="shared" si="9"/>
        <v/>
      </c>
      <c r="AA107" s="58" t="str">
        <f t="shared" si="10"/>
        <v/>
      </c>
      <c r="AB107" s="58" t="str">
        <f t="shared" si="11"/>
        <v/>
      </c>
      <c r="AC107" s="57" t="str">
        <f t="shared" si="12"/>
        <v/>
      </c>
      <c r="AD107" s="59" t="str">
        <f t="shared" si="13"/>
        <v/>
      </c>
      <c r="AE107" s="54" t="str">
        <f>IF($B107="","",IF(NOT(ISNUMBER($AA107)),"Aguardando fechamento",IF($P107&gt;0,"ACAO: "&amp;TEXT($P107,"0")&amp;" carga(s) terceirizada(s) de forma evitavel",IF(IF(ISNUMBER($Z107),$Z107,0)&gt;IFERROR(INDEX(Parâmetros!$G$5:$G$10,MATCH($C107,Parâmetros!$B$5:$B$10,0)),""),"ALERTA: terceiros acima da meta",IF($AA107&gt;IFERROR(INDEX(Parâmetros!$D$5:$D$10,MATCH($C107,Parâmetros!$B$5:$B$10,0)),""),"ALERTA: custo/km acima da meta","OK - dentro das metas")))))</f>
        <v/>
      </c>
    </row>
    <row r="108" spans="2:31" ht="15" customHeight="1" x14ac:dyDescent="0.3">
      <c r="B108" s="48"/>
      <c r="C108" s="49"/>
      <c r="D108" s="50"/>
      <c r="E108" s="51"/>
      <c r="F108" s="52"/>
      <c r="G108" s="51"/>
      <c r="H108" s="51"/>
      <c r="I108" s="53" t="str">
        <f>IF($B108="","",IFERROR($G108*IFERROR(INDEX(Parâmetros!$C$5:$C$10,MATCH($C108,Parâmetros!$B$5:$B$10,0)),"")/Parâmetros!$C$13,""))</f>
        <v/>
      </c>
      <c r="J108" s="53" t="str">
        <f>IF($B108="","",IFERROR($E108*IFERROR(INDEX(Parâmetros!$E$5:$E$10,MATCH($C108,Parâmetros!$B$5:$B$10,0)),"")-$I108,""))</f>
        <v/>
      </c>
      <c r="K108" s="54" t="str">
        <f>IF($B108="","",IF(NOT(ISNUMBER($J108)),"",IF($J108&lt;=0,"OK - frota cobre a meta do dia",IF($J108&lt;=Parâmetros!$C$15,"ATENCAO - faltam "&amp;TEXT($J108,"0")&amp;" viagem(ns) de frota","CRITICO - faltam "&amp;TEXT($J108,"0")&amp;" viagens: acionar plano"))))</f>
        <v/>
      </c>
      <c r="L108" s="51"/>
      <c r="M108" s="51"/>
      <c r="N108" s="51"/>
      <c r="O108" s="50"/>
      <c r="P108" s="51"/>
      <c r="Q108" s="51"/>
      <c r="R108" s="55"/>
      <c r="S108" s="56"/>
      <c r="T108" s="56"/>
      <c r="U108" s="56"/>
      <c r="V108" s="19"/>
      <c r="W108" s="51"/>
      <c r="X108" s="57" t="str">
        <f t="shared" si="7"/>
        <v/>
      </c>
      <c r="Y108" s="57" t="str">
        <f t="shared" si="8"/>
        <v/>
      </c>
      <c r="Z108" s="57" t="str">
        <f t="shared" si="9"/>
        <v/>
      </c>
      <c r="AA108" s="58" t="str">
        <f t="shared" si="10"/>
        <v/>
      </c>
      <c r="AB108" s="58" t="str">
        <f t="shared" si="11"/>
        <v/>
      </c>
      <c r="AC108" s="57" t="str">
        <f t="shared" si="12"/>
        <v/>
      </c>
      <c r="AD108" s="59" t="str">
        <f t="shared" si="13"/>
        <v/>
      </c>
      <c r="AE108" s="54" t="str">
        <f>IF($B108="","",IF(NOT(ISNUMBER($AA108)),"Aguardando fechamento",IF($P108&gt;0,"ACAO: "&amp;TEXT($P108,"0")&amp;" carga(s) terceirizada(s) de forma evitavel",IF(IF(ISNUMBER($Z108),$Z108,0)&gt;IFERROR(INDEX(Parâmetros!$G$5:$G$10,MATCH($C108,Parâmetros!$B$5:$B$10,0)),""),"ALERTA: terceiros acima da meta",IF($AA108&gt;IFERROR(INDEX(Parâmetros!$D$5:$D$10,MATCH($C108,Parâmetros!$B$5:$B$10,0)),""),"ALERTA: custo/km acima da meta","OK - dentro das metas")))))</f>
        <v/>
      </c>
    </row>
    <row r="109" spans="2:31" ht="15" customHeight="1" x14ac:dyDescent="0.3">
      <c r="B109" s="48"/>
      <c r="C109" s="49"/>
      <c r="D109" s="50"/>
      <c r="E109" s="51"/>
      <c r="F109" s="52"/>
      <c r="G109" s="51"/>
      <c r="H109" s="51"/>
      <c r="I109" s="53" t="str">
        <f>IF($B109="","",IFERROR($G109*IFERROR(INDEX(Parâmetros!$C$5:$C$10,MATCH($C109,Parâmetros!$B$5:$B$10,0)),"")/Parâmetros!$C$13,""))</f>
        <v/>
      </c>
      <c r="J109" s="53" t="str">
        <f>IF($B109="","",IFERROR($E109*IFERROR(INDEX(Parâmetros!$E$5:$E$10,MATCH($C109,Parâmetros!$B$5:$B$10,0)),"")-$I109,""))</f>
        <v/>
      </c>
      <c r="K109" s="54" t="str">
        <f>IF($B109="","",IF(NOT(ISNUMBER($J109)),"",IF($J109&lt;=0,"OK - frota cobre a meta do dia",IF($J109&lt;=Parâmetros!$C$15,"ATENCAO - faltam "&amp;TEXT($J109,"0")&amp;" viagem(ns) de frota","CRITICO - faltam "&amp;TEXT($J109,"0")&amp;" viagens: acionar plano"))))</f>
        <v/>
      </c>
      <c r="L109" s="51"/>
      <c r="M109" s="51"/>
      <c r="N109" s="51"/>
      <c r="O109" s="50"/>
      <c r="P109" s="51"/>
      <c r="Q109" s="51"/>
      <c r="R109" s="55"/>
      <c r="S109" s="56"/>
      <c r="T109" s="56"/>
      <c r="U109" s="56"/>
      <c r="V109" s="19"/>
      <c r="W109" s="51"/>
      <c r="X109" s="57" t="str">
        <f t="shared" si="7"/>
        <v/>
      </c>
      <c r="Y109" s="57" t="str">
        <f t="shared" si="8"/>
        <v/>
      </c>
      <c r="Z109" s="57" t="str">
        <f t="shared" si="9"/>
        <v/>
      </c>
      <c r="AA109" s="58" t="str">
        <f t="shared" si="10"/>
        <v/>
      </c>
      <c r="AB109" s="58" t="str">
        <f t="shared" si="11"/>
        <v/>
      </c>
      <c r="AC109" s="57" t="str">
        <f t="shared" si="12"/>
        <v/>
      </c>
      <c r="AD109" s="59" t="str">
        <f t="shared" si="13"/>
        <v/>
      </c>
      <c r="AE109" s="54" t="str">
        <f>IF($B109="","",IF(NOT(ISNUMBER($AA109)),"Aguardando fechamento",IF($P109&gt;0,"ACAO: "&amp;TEXT($P109,"0")&amp;" carga(s) terceirizada(s) de forma evitavel",IF(IF(ISNUMBER($Z109),$Z109,0)&gt;IFERROR(INDEX(Parâmetros!$G$5:$G$10,MATCH($C109,Parâmetros!$B$5:$B$10,0)),""),"ALERTA: terceiros acima da meta",IF($AA109&gt;IFERROR(INDEX(Parâmetros!$D$5:$D$10,MATCH($C109,Parâmetros!$B$5:$B$10,0)),""),"ALERTA: custo/km acima da meta","OK - dentro das metas")))))</f>
        <v/>
      </c>
    </row>
    <row r="110" spans="2:31" ht="15" customHeight="1" x14ac:dyDescent="0.3">
      <c r="B110" s="48"/>
      <c r="C110" s="49"/>
      <c r="D110" s="50"/>
      <c r="E110" s="51"/>
      <c r="F110" s="52"/>
      <c r="G110" s="51"/>
      <c r="H110" s="51"/>
      <c r="I110" s="53" t="str">
        <f>IF($B110="","",IFERROR($G110*IFERROR(INDEX(Parâmetros!$C$5:$C$10,MATCH($C110,Parâmetros!$B$5:$B$10,0)),"")/Parâmetros!$C$13,""))</f>
        <v/>
      </c>
      <c r="J110" s="53" t="str">
        <f>IF($B110="","",IFERROR($E110*IFERROR(INDEX(Parâmetros!$E$5:$E$10,MATCH($C110,Parâmetros!$B$5:$B$10,0)),"")-$I110,""))</f>
        <v/>
      </c>
      <c r="K110" s="54" t="str">
        <f>IF($B110="","",IF(NOT(ISNUMBER($J110)),"",IF($J110&lt;=0,"OK - frota cobre a meta do dia",IF($J110&lt;=Parâmetros!$C$15,"ATENCAO - faltam "&amp;TEXT($J110,"0")&amp;" viagem(ns) de frota","CRITICO - faltam "&amp;TEXT($J110,"0")&amp;" viagens: acionar plano"))))</f>
        <v/>
      </c>
      <c r="L110" s="51"/>
      <c r="M110" s="51"/>
      <c r="N110" s="51"/>
      <c r="O110" s="50"/>
      <c r="P110" s="51"/>
      <c r="Q110" s="51"/>
      <c r="R110" s="55"/>
      <c r="S110" s="56"/>
      <c r="T110" s="56"/>
      <c r="U110" s="56"/>
      <c r="V110" s="19"/>
      <c r="W110" s="51"/>
      <c r="X110" s="57" t="str">
        <f t="shared" si="7"/>
        <v/>
      </c>
      <c r="Y110" s="57" t="str">
        <f t="shared" si="8"/>
        <v/>
      </c>
      <c r="Z110" s="57" t="str">
        <f t="shared" si="9"/>
        <v/>
      </c>
      <c r="AA110" s="58" t="str">
        <f t="shared" si="10"/>
        <v/>
      </c>
      <c r="AB110" s="58" t="str">
        <f t="shared" si="11"/>
        <v/>
      </c>
      <c r="AC110" s="57" t="str">
        <f t="shared" si="12"/>
        <v/>
      </c>
      <c r="AD110" s="59" t="str">
        <f t="shared" si="13"/>
        <v/>
      </c>
      <c r="AE110" s="54" t="str">
        <f>IF($B110="","",IF(NOT(ISNUMBER($AA110)),"Aguardando fechamento",IF($P110&gt;0,"ACAO: "&amp;TEXT($P110,"0")&amp;" carga(s) terceirizada(s) de forma evitavel",IF(IF(ISNUMBER($Z110),$Z110,0)&gt;IFERROR(INDEX(Parâmetros!$G$5:$G$10,MATCH($C110,Parâmetros!$B$5:$B$10,0)),""),"ALERTA: terceiros acima da meta",IF($AA110&gt;IFERROR(INDEX(Parâmetros!$D$5:$D$10,MATCH($C110,Parâmetros!$B$5:$B$10,0)),""),"ALERTA: custo/km acima da meta","OK - dentro das metas")))))</f>
        <v/>
      </c>
    </row>
    <row r="111" spans="2:31" ht="15" customHeight="1" x14ac:dyDescent="0.3">
      <c r="B111" s="48"/>
      <c r="C111" s="49"/>
      <c r="D111" s="50"/>
      <c r="E111" s="51"/>
      <c r="F111" s="52"/>
      <c r="G111" s="51"/>
      <c r="H111" s="51"/>
      <c r="I111" s="53" t="str">
        <f>IF($B111="","",IFERROR($G111*IFERROR(INDEX(Parâmetros!$C$5:$C$10,MATCH($C111,Parâmetros!$B$5:$B$10,0)),"")/Parâmetros!$C$13,""))</f>
        <v/>
      </c>
      <c r="J111" s="53" t="str">
        <f>IF($B111="","",IFERROR($E111*IFERROR(INDEX(Parâmetros!$E$5:$E$10,MATCH($C111,Parâmetros!$B$5:$B$10,0)),"")-$I111,""))</f>
        <v/>
      </c>
      <c r="K111" s="54" t="str">
        <f>IF($B111="","",IF(NOT(ISNUMBER($J111)),"",IF($J111&lt;=0,"OK - frota cobre a meta do dia",IF($J111&lt;=Parâmetros!$C$15,"ATENCAO - faltam "&amp;TEXT($J111,"0")&amp;" viagem(ns) de frota","CRITICO - faltam "&amp;TEXT($J111,"0")&amp;" viagens: acionar plano"))))</f>
        <v/>
      </c>
      <c r="L111" s="51"/>
      <c r="M111" s="51"/>
      <c r="N111" s="51"/>
      <c r="O111" s="50"/>
      <c r="P111" s="51"/>
      <c r="Q111" s="51"/>
      <c r="R111" s="55"/>
      <c r="S111" s="56"/>
      <c r="T111" s="56"/>
      <c r="U111" s="56"/>
      <c r="V111" s="19"/>
      <c r="W111" s="51"/>
      <c r="X111" s="57" t="str">
        <f t="shared" si="7"/>
        <v/>
      </c>
      <c r="Y111" s="57" t="str">
        <f t="shared" si="8"/>
        <v/>
      </c>
      <c r="Z111" s="57" t="str">
        <f t="shared" si="9"/>
        <v/>
      </c>
      <c r="AA111" s="58" t="str">
        <f t="shared" si="10"/>
        <v/>
      </c>
      <c r="AB111" s="58" t="str">
        <f t="shared" si="11"/>
        <v/>
      </c>
      <c r="AC111" s="57" t="str">
        <f t="shared" si="12"/>
        <v/>
      </c>
      <c r="AD111" s="59" t="str">
        <f t="shared" si="13"/>
        <v/>
      </c>
      <c r="AE111" s="54" t="str">
        <f>IF($B111="","",IF(NOT(ISNUMBER($AA111)),"Aguardando fechamento",IF($P111&gt;0,"ACAO: "&amp;TEXT($P111,"0")&amp;" carga(s) terceirizada(s) de forma evitavel",IF(IF(ISNUMBER($Z111),$Z111,0)&gt;IFERROR(INDEX(Parâmetros!$G$5:$G$10,MATCH($C111,Parâmetros!$B$5:$B$10,0)),""),"ALERTA: terceiros acima da meta",IF($AA111&gt;IFERROR(INDEX(Parâmetros!$D$5:$D$10,MATCH($C111,Parâmetros!$B$5:$B$10,0)),""),"ALERTA: custo/km acima da meta","OK - dentro das metas")))))</f>
        <v/>
      </c>
    </row>
    <row r="112" spans="2:31" ht="15" customHeight="1" x14ac:dyDescent="0.3">
      <c r="B112" s="48"/>
      <c r="C112" s="49"/>
      <c r="D112" s="50"/>
      <c r="E112" s="51"/>
      <c r="F112" s="52"/>
      <c r="G112" s="51"/>
      <c r="H112" s="51"/>
      <c r="I112" s="53" t="str">
        <f>IF($B112="","",IFERROR($G112*IFERROR(INDEX(Parâmetros!$C$5:$C$10,MATCH($C112,Parâmetros!$B$5:$B$10,0)),"")/Parâmetros!$C$13,""))</f>
        <v/>
      </c>
      <c r="J112" s="53" t="str">
        <f>IF($B112="","",IFERROR($E112*IFERROR(INDEX(Parâmetros!$E$5:$E$10,MATCH($C112,Parâmetros!$B$5:$B$10,0)),"")-$I112,""))</f>
        <v/>
      </c>
      <c r="K112" s="54" t="str">
        <f>IF($B112="","",IF(NOT(ISNUMBER($J112)),"",IF($J112&lt;=0,"OK - frota cobre a meta do dia",IF($J112&lt;=Parâmetros!$C$15,"ATENCAO - faltam "&amp;TEXT($J112,"0")&amp;" viagem(ns) de frota","CRITICO - faltam "&amp;TEXT($J112,"0")&amp;" viagens: acionar plano"))))</f>
        <v/>
      </c>
      <c r="L112" s="51"/>
      <c r="M112" s="51"/>
      <c r="N112" s="51"/>
      <c r="O112" s="50"/>
      <c r="P112" s="51"/>
      <c r="Q112" s="51"/>
      <c r="R112" s="55"/>
      <c r="S112" s="56"/>
      <c r="T112" s="56"/>
      <c r="U112" s="56"/>
      <c r="V112" s="19"/>
      <c r="W112" s="51"/>
      <c r="X112" s="57" t="str">
        <f t="shared" si="7"/>
        <v/>
      </c>
      <c r="Y112" s="57" t="str">
        <f t="shared" si="8"/>
        <v/>
      </c>
      <c r="Z112" s="57" t="str">
        <f t="shared" si="9"/>
        <v/>
      </c>
      <c r="AA112" s="58" t="str">
        <f t="shared" si="10"/>
        <v/>
      </c>
      <c r="AB112" s="58" t="str">
        <f t="shared" si="11"/>
        <v/>
      </c>
      <c r="AC112" s="57" t="str">
        <f t="shared" si="12"/>
        <v/>
      </c>
      <c r="AD112" s="59" t="str">
        <f t="shared" si="13"/>
        <v/>
      </c>
      <c r="AE112" s="54" t="str">
        <f>IF($B112="","",IF(NOT(ISNUMBER($AA112)),"Aguardando fechamento",IF($P112&gt;0,"ACAO: "&amp;TEXT($P112,"0")&amp;" carga(s) terceirizada(s) de forma evitavel",IF(IF(ISNUMBER($Z112),$Z112,0)&gt;IFERROR(INDEX(Parâmetros!$G$5:$G$10,MATCH($C112,Parâmetros!$B$5:$B$10,0)),""),"ALERTA: terceiros acima da meta",IF($AA112&gt;IFERROR(INDEX(Parâmetros!$D$5:$D$10,MATCH($C112,Parâmetros!$B$5:$B$10,0)),""),"ALERTA: custo/km acima da meta","OK - dentro das metas")))))</f>
        <v/>
      </c>
    </row>
    <row r="113" spans="2:31" ht="15" customHeight="1" x14ac:dyDescent="0.3">
      <c r="B113" s="48"/>
      <c r="C113" s="49"/>
      <c r="D113" s="50"/>
      <c r="E113" s="51"/>
      <c r="F113" s="52"/>
      <c r="G113" s="51"/>
      <c r="H113" s="51"/>
      <c r="I113" s="53" t="str">
        <f>IF($B113="","",IFERROR($G113*IFERROR(INDEX(Parâmetros!$C$5:$C$10,MATCH($C113,Parâmetros!$B$5:$B$10,0)),"")/Parâmetros!$C$13,""))</f>
        <v/>
      </c>
      <c r="J113" s="53" t="str">
        <f>IF($B113="","",IFERROR($E113*IFERROR(INDEX(Parâmetros!$E$5:$E$10,MATCH($C113,Parâmetros!$B$5:$B$10,0)),"")-$I113,""))</f>
        <v/>
      </c>
      <c r="K113" s="54" t="str">
        <f>IF($B113="","",IF(NOT(ISNUMBER($J113)),"",IF($J113&lt;=0,"OK - frota cobre a meta do dia",IF($J113&lt;=Parâmetros!$C$15,"ATENCAO - faltam "&amp;TEXT($J113,"0")&amp;" viagem(ns) de frota","CRITICO - faltam "&amp;TEXT($J113,"0")&amp;" viagens: acionar plano"))))</f>
        <v/>
      </c>
      <c r="L113" s="51"/>
      <c r="M113" s="51"/>
      <c r="N113" s="51"/>
      <c r="O113" s="50"/>
      <c r="P113" s="51"/>
      <c r="Q113" s="51"/>
      <c r="R113" s="55"/>
      <c r="S113" s="56"/>
      <c r="T113" s="56"/>
      <c r="U113" s="56"/>
      <c r="V113" s="19"/>
      <c r="W113" s="51"/>
      <c r="X113" s="57" t="str">
        <f t="shared" si="7"/>
        <v/>
      </c>
      <c r="Y113" s="57" t="str">
        <f t="shared" si="8"/>
        <v/>
      </c>
      <c r="Z113" s="57" t="str">
        <f t="shared" si="9"/>
        <v/>
      </c>
      <c r="AA113" s="58" t="str">
        <f t="shared" si="10"/>
        <v/>
      </c>
      <c r="AB113" s="58" t="str">
        <f t="shared" si="11"/>
        <v/>
      </c>
      <c r="AC113" s="57" t="str">
        <f t="shared" si="12"/>
        <v/>
      </c>
      <c r="AD113" s="59" t="str">
        <f t="shared" si="13"/>
        <v/>
      </c>
      <c r="AE113" s="54" t="str">
        <f>IF($B113="","",IF(NOT(ISNUMBER($AA113)),"Aguardando fechamento",IF($P113&gt;0,"ACAO: "&amp;TEXT($P113,"0")&amp;" carga(s) terceirizada(s) de forma evitavel",IF(IF(ISNUMBER($Z113),$Z113,0)&gt;IFERROR(INDEX(Parâmetros!$G$5:$G$10,MATCH($C113,Parâmetros!$B$5:$B$10,0)),""),"ALERTA: terceiros acima da meta",IF($AA113&gt;IFERROR(INDEX(Parâmetros!$D$5:$D$10,MATCH($C113,Parâmetros!$B$5:$B$10,0)),""),"ALERTA: custo/km acima da meta","OK - dentro das metas")))))</f>
        <v/>
      </c>
    </row>
    <row r="114" spans="2:31" ht="15" customHeight="1" x14ac:dyDescent="0.3">
      <c r="B114" s="48"/>
      <c r="C114" s="49"/>
      <c r="D114" s="50"/>
      <c r="E114" s="51"/>
      <c r="F114" s="52"/>
      <c r="G114" s="51"/>
      <c r="H114" s="51"/>
      <c r="I114" s="53" t="str">
        <f>IF($B114="","",IFERROR($G114*IFERROR(INDEX(Parâmetros!$C$5:$C$10,MATCH($C114,Parâmetros!$B$5:$B$10,0)),"")/Parâmetros!$C$13,""))</f>
        <v/>
      </c>
      <c r="J114" s="53" t="str">
        <f>IF($B114="","",IFERROR($E114*IFERROR(INDEX(Parâmetros!$E$5:$E$10,MATCH($C114,Parâmetros!$B$5:$B$10,0)),"")-$I114,""))</f>
        <v/>
      </c>
      <c r="K114" s="54" t="str">
        <f>IF($B114="","",IF(NOT(ISNUMBER($J114)),"",IF($J114&lt;=0,"OK - frota cobre a meta do dia",IF($J114&lt;=Parâmetros!$C$15,"ATENCAO - faltam "&amp;TEXT($J114,"0")&amp;" viagem(ns) de frota","CRITICO - faltam "&amp;TEXT($J114,"0")&amp;" viagens: acionar plano"))))</f>
        <v/>
      </c>
      <c r="L114" s="51"/>
      <c r="M114" s="51"/>
      <c r="N114" s="51"/>
      <c r="O114" s="50"/>
      <c r="P114" s="51"/>
      <c r="Q114" s="51"/>
      <c r="R114" s="55"/>
      <c r="S114" s="56"/>
      <c r="T114" s="56"/>
      <c r="U114" s="56"/>
      <c r="V114" s="19"/>
      <c r="W114" s="51"/>
      <c r="X114" s="57" t="str">
        <f t="shared" si="7"/>
        <v/>
      </c>
      <c r="Y114" s="57" t="str">
        <f t="shared" si="8"/>
        <v/>
      </c>
      <c r="Z114" s="57" t="str">
        <f t="shared" si="9"/>
        <v/>
      </c>
      <c r="AA114" s="58" t="str">
        <f t="shared" si="10"/>
        <v/>
      </c>
      <c r="AB114" s="58" t="str">
        <f t="shared" si="11"/>
        <v/>
      </c>
      <c r="AC114" s="57" t="str">
        <f t="shared" si="12"/>
        <v/>
      </c>
      <c r="AD114" s="59" t="str">
        <f t="shared" si="13"/>
        <v/>
      </c>
      <c r="AE114" s="54" t="str">
        <f>IF($B114="","",IF(NOT(ISNUMBER($AA114)),"Aguardando fechamento",IF($P114&gt;0,"ACAO: "&amp;TEXT($P114,"0")&amp;" carga(s) terceirizada(s) de forma evitavel",IF(IF(ISNUMBER($Z114),$Z114,0)&gt;IFERROR(INDEX(Parâmetros!$G$5:$G$10,MATCH($C114,Parâmetros!$B$5:$B$10,0)),""),"ALERTA: terceiros acima da meta",IF($AA114&gt;IFERROR(INDEX(Parâmetros!$D$5:$D$10,MATCH($C114,Parâmetros!$B$5:$B$10,0)),""),"ALERTA: custo/km acima da meta","OK - dentro das metas")))))</f>
        <v/>
      </c>
    </row>
    <row r="115" spans="2:31" ht="15" customHeight="1" x14ac:dyDescent="0.3">
      <c r="B115" s="48"/>
      <c r="C115" s="49"/>
      <c r="D115" s="50"/>
      <c r="E115" s="51"/>
      <c r="F115" s="52"/>
      <c r="G115" s="51"/>
      <c r="H115" s="51"/>
      <c r="I115" s="53" t="str">
        <f>IF($B115="","",IFERROR($G115*IFERROR(INDEX(Parâmetros!$C$5:$C$10,MATCH($C115,Parâmetros!$B$5:$B$10,0)),"")/Parâmetros!$C$13,""))</f>
        <v/>
      </c>
      <c r="J115" s="53" t="str">
        <f>IF($B115="","",IFERROR($E115*IFERROR(INDEX(Parâmetros!$E$5:$E$10,MATCH($C115,Parâmetros!$B$5:$B$10,0)),"")-$I115,""))</f>
        <v/>
      </c>
      <c r="K115" s="54" t="str">
        <f>IF($B115="","",IF(NOT(ISNUMBER($J115)),"",IF($J115&lt;=0,"OK - frota cobre a meta do dia",IF($J115&lt;=Parâmetros!$C$15,"ATENCAO - faltam "&amp;TEXT($J115,"0")&amp;" viagem(ns) de frota","CRITICO - faltam "&amp;TEXT($J115,"0")&amp;" viagens: acionar plano"))))</f>
        <v/>
      </c>
      <c r="L115" s="51"/>
      <c r="M115" s="51"/>
      <c r="N115" s="51"/>
      <c r="O115" s="50"/>
      <c r="P115" s="51"/>
      <c r="Q115" s="51"/>
      <c r="R115" s="55"/>
      <c r="S115" s="56"/>
      <c r="T115" s="56"/>
      <c r="U115" s="56"/>
      <c r="V115" s="19"/>
      <c r="W115" s="51"/>
      <c r="X115" s="57" t="str">
        <f t="shared" si="7"/>
        <v/>
      </c>
      <c r="Y115" s="57" t="str">
        <f t="shared" si="8"/>
        <v/>
      </c>
      <c r="Z115" s="57" t="str">
        <f t="shared" si="9"/>
        <v/>
      </c>
      <c r="AA115" s="58" t="str">
        <f t="shared" si="10"/>
        <v/>
      </c>
      <c r="AB115" s="58" t="str">
        <f t="shared" si="11"/>
        <v/>
      </c>
      <c r="AC115" s="57" t="str">
        <f t="shared" si="12"/>
        <v/>
      </c>
      <c r="AD115" s="59" t="str">
        <f t="shared" si="13"/>
        <v/>
      </c>
      <c r="AE115" s="54" t="str">
        <f>IF($B115="","",IF(NOT(ISNUMBER($AA115)),"Aguardando fechamento",IF($P115&gt;0,"ACAO: "&amp;TEXT($P115,"0")&amp;" carga(s) terceirizada(s) de forma evitavel",IF(IF(ISNUMBER($Z115),$Z115,0)&gt;IFERROR(INDEX(Parâmetros!$G$5:$G$10,MATCH($C115,Parâmetros!$B$5:$B$10,0)),""),"ALERTA: terceiros acima da meta",IF($AA115&gt;IFERROR(INDEX(Parâmetros!$D$5:$D$10,MATCH($C115,Parâmetros!$B$5:$B$10,0)),""),"ALERTA: custo/km acima da meta","OK - dentro das metas")))))</f>
        <v/>
      </c>
    </row>
    <row r="116" spans="2:31" ht="15" customHeight="1" x14ac:dyDescent="0.3">
      <c r="B116" s="48"/>
      <c r="C116" s="49"/>
      <c r="D116" s="50"/>
      <c r="E116" s="51"/>
      <c r="F116" s="52"/>
      <c r="G116" s="51"/>
      <c r="H116" s="51"/>
      <c r="I116" s="53" t="str">
        <f>IF($B116="","",IFERROR($G116*IFERROR(INDEX(Parâmetros!$C$5:$C$10,MATCH($C116,Parâmetros!$B$5:$B$10,0)),"")/Parâmetros!$C$13,""))</f>
        <v/>
      </c>
      <c r="J116" s="53" t="str">
        <f>IF($B116="","",IFERROR($E116*IFERROR(INDEX(Parâmetros!$E$5:$E$10,MATCH($C116,Parâmetros!$B$5:$B$10,0)),"")-$I116,""))</f>
        <v/>
      </c>
      <c r="K116" s="54" t="str">
        <f>IF($B116="","",IF(NOT(ISNUMBER($J116)),"",IF($J116&lt;=0,"OK - frota cobre a meta do dia",IF($J116&lt;=Parâmetros!$C$15,"ATENCAO - faltam "&amp;TEXT($J116,"0")&amp;" viagem(ns) de frota","CRITICO - faltam "&amp;TEXT($J116,"0")&amp;" viagens: acionar plano"))))</f>
        <v/>
      </c>
      <c r="L116" s="51"/>
      <c r="M116" s="51"/>
      <c r="N116" s="51"/>
      <c r="O116" s="50"/>
      <c r="P116" s="51"/>
      <c r="Q116" s="51"/>
      <c r="R116" s="55"/>
      <c r="S116" s="56"/>
      <c r="T116" s="56"/>
      <c r="U116" s="56"/>
      <c r="V116" s="19"/>
      <c r="W116" s="51"/>
      <c r="X116" s="57" t="str">
        <f t="shared" si="7"/>
        <v/>
      </c>
      <c r="Y116" s="57" t="str">
        <f t="shared" si="8"/>
        <v/>
      </c>
      <c r="Z116" s="57" t="str">
        <f t="shared" si="9"/>
        <v/>
      </c>
      <c r="AA116" s="58" t="str">
        <f t="shared" si="10"/>
        <v/>
      </c>
      <c r="AB116" s="58" t="str">
        <f t="shared" si="11"/>
        <v/>
      </c>
      <c r="AC116" s="57" t="str">
        <f t="shared" si="12"/>
        <v/>
      </c>
      <c r="AD116" s="59" t="str">
        <f t="shared" si="13"/>
        <v/>
      </c>
      <c r="AE116" s="54" t="str">
        <f>IF($B116="","",IF(NOT(ISNUMBER($AA116)),"Aguardando fechamento",IF($P116&gt;0,"ACAO: "&amp;TEXT($P116,"0")&amp;" carga(s) terceirizada(s) de forma evitavel",IF(IF(ISNUMBER($Z116),$Z116,0)&gt;IFERROR(INDEX(Parâmetros!$G$5:$G$10,MATCH($C116,Parâmetros!$B$5:$B$10,0)),""),"ALERTA: terceiros acima da meta",IF($AA116&gt;IFERROR(INDEX(Parâmetros!$D$5:$D$10,MATCH($C116,Parâmetros!$B$5:$B$10,0)),""),"ALERTA: custo/km acima da meta","OK - dentro das metas")))))</f>
        <v/>
      </c>
    </row>
    <row r="117" spans="2:31" ht="15" customHeight="1" x14ac:dyDescent="0.3">
      <c r="B117" s="48"/>
      <c r="C117" s="49"/>
      <c r="D117" s="50"/>
      <c r="E117" s="51"/>
      <c r="F117" s="52"/>
      <c r="G117" s="51"/>
      <c r="H117" s="51"/>
      <c r="I117" s="53" t="str">
        <f>IF($B117="","",IFERROR($G117*IFERROR(INDEX(Parâmetros!$C$5:$C$10,MATCH($C117,Parâmetros!$B$5:$B$10,0)),"")/Parâmetros!$C$13,""))</f>
        <v/>
      </c>
      <c r="J117" s="53" t="str">
        <f>IF($B117="","",IFERROR($E117*IFERROR(INDEX(Parâmetros!$E$5:$E$10,MATCH($C117,Parâmetros!$B$5:$B$10,0)),"")-$I117,""))</f>
        <v/>
      </c>
      <c r="K117" s="54" t="str">
        <f>IF($B117="","",IF(NOT(ISNUMBER($J117)),"",IF($J117&lt;=0,"OK - frota cobre a meta do dia",IF($J117&lt;=Parâmetros!$C$15,"ATENCAO - faltam "&amp;TEXT($J117,"0")&amp;" viagem(ns) de frota","CRITICO - faltam "&amp;TEXT($J117,"0")&amp;" viagens: acionar plano"))))</f>
        <v/>
      </c>
      <c r="L117" s="51"/>
      <c r="M117" s="51"/>
      <c r="N117" s="51"/>
      <c r="O117" s="50"/>
      <c r="P117" s="51"/>
      <c r="Q117" s="51"/>
      <c r="R117" s="55"/>
      <c r="S117" s="56"/>
      <c r="T117" s="56"/>
      <c r="U117" s="56"/>
      <c r="V117" s="19"/>
      <c r="W117" s="51"/>
      <c r="X117" s="57" t="str">
        <f t="shared" si="7"/>
        <v/>
      </c>
      <c r="Y117" s="57" t="str">
        <f t="shared" si="8"/>
        <v/>
      </c>
      <c r="Z117" s="57" t="str">
        <f t="shared" si="9"/>
        <v/>
      </c>
      <c r="AA117" s="58" t="str">
        <f t="shared" si="10"/>
        <v/>
      </c>
      <c r="AB117" s="58" t="str">
        <f t="shared" si="11"/>
        <v/>
      </c>
      <c r="AC117" s="57" t="str">
        <f t="shared" si="12"/>
        <v/>
      </c>
      <c r="AD117" s="59" t="str">
        <f t="shared" si="13"/>
        <v/>
      </c>
      <c r="AE117" s="54" t="str">
        <f>IF($B117="","",IF(NOT(ISNUMBER($AA117)),"Aguardando fechamento",IF($P117&gt;0,"ACAO: "&amp;TEXT($P117,"0")&amp;" carga(s) terceirizada(s) de forma evitavel",IF(IF(ISNUMBER($Z117),$Z117,0)&gt;IFERROR(INDEX(Parâmetros!$G$5:$G$10,MATCH($C117,Parâmetros!$B$5:$B$10,0)),""),"ALERTA: terceiros acima da meta",IF($AA117&gt;IFERROR(INDEX(Parâmetros!$D$5:$D$10,MATCH($C117,Parâmetros!$B$5:$B$10,0)),""),"ALERTA: custo/km acima da meta","OK - dentro das metas")))))</f>
        <v/>
      </c>
    </row>
    <row r="118" spans="2:31" ht="15" customHeight="1" x14ac:dyDescent="0.3">
      <c r="B118" s="48"/>
      <c r="C118" s="49"/>
      <c r="D118" s="50"/>
      <c r="E118" s="51"/>
      <c r="F118" s="52"/>
      <c r="G118" s="51"/>
      <c r="H118" s="51"/>
      <c r="I118" s="53" t="str">
        <f>IF($B118="","",IFERROR($G118*IFERROR(INDEX(Parâmetros!$C$5:$C$10,MATCH($C118,Parâmetros!$B$5:$B$10,0)),"")/Parâmetros!$C$13,""))</f>
        <v/>
      </c>
      <c r="J118" s="53" t="str">
        <f>IF($B118="","",IFERROR($E118*IFERROR(INDEX(Parâmetros!$E$5:$E$10,MATCH($C118,Parâmetros!$B$5:$B$10,0)),"")-$I118,""))</f>
        <v/>
      </c>
      <c r="K118" s="54" t="str">
        <f>IF($B118="","",IF(NOT(ISNUMBER($J118)),"",IF($J118&lt;=0,"OK - frota cobre a meta do dia",IF($J118&lt;=Parâmetros!$C$15,"ATENCAO - faltam "&amp;TEXT($J118,"0")&amp;" viagem(ns) de frota","CRITICO - faltam "&amp;TEXT($J118,"0")&amp;" viagens: acionar plano"))))</f>
        <v/>
      </c>
      <c r="L118" s="51"/>
      <c r="M118" s="51"/>
      <c r="N118" s="51"/>
      <c r="O118" s="50"/>
      <c r="P118" s="51"/>
      <c r="Q118" s="51"/>
      <c r="R118" s="55"/>
      <c r="S118" s="56"/>
      <c r="T118" s="56"/>
      <c r="U118" s="56"/>
      <c r="V118" s="19"/>
      <c r="W118" s="51"/>
      <c r="X118" s="57" t="str">
        <f t="shared" si="7"/>
        <v/>
      </c>
      <c r="Y118" s="57" t="str">
        <f t="shared" si="8"/>
        <v/>
      </c>
      <c r="Z118" s="57" t="str">
        <f t="shared" si="9"/>
        <v/>
      </c>
      <c r="AA118" s="58" t="str">
        <f t="shared" si="10"/>
        <v/>
      </c>
      <c r="AB118" s="58" t="str">
        <f t="shared" si="11"/>
        <v/>
      </c>
      <c r="AC118" s="57" t="str">
        <f t="shared" si="12"/>
        <v/>
      </c>
      <c r="AD118" s="59" t="str">
        <f t="shared" si="13"/>
        <v/>
      </c>
      <c r="AE118" s="54" t="str">
        <f>IF($B118="","",IF(NOT(ISNUMBER($AA118)),"Aguardando fechamento",IF($P118&gt;0,"ACAO: "&amp;TEXT($P118,"0")&amp;" carga(s) terceirizada(s) de forma evitavel",IF(IF(ISNUMBER($Z118),$Z118,0)&gt;IFERROR(INDEX(Parâmetros!$G$5:$G$10,MATCH($C118,Parâmetros!$B$5:$B$10,0)),""),"ALERTA: terceiros acima da meta",IF($AA118&gt;IFERROR(INDEX(Parâmetros!$D$5:$D$10,MATCH($C118,Parâmetros!$B$5:$B$10,0)),""),"ALERTA: custo/km acima da meta","OK - dentro das metas")))))</f>
        <v/>
      </c>
    </row>
    <row r="119" spans="2:31" ht="15" customHeight="1" x14ac:dyDescent="0.3">
      <c r="B119" s="48"/>
      <c r="C119" s="49"/>
      <c r="D119" s="50"/>
      <c r="E119" s="51"/>
      <c r="F119" s="52"/>
      <c r="G119" s="51"/>
      <c r="H119" s="51"/>
      <c r="I119" s="53" t="str">
        <f>IF($B119="","",IFERROR($G119*IFERROR(INDEX(Parâmetros!$C$5:$C$10,MATCH($C119,Parâmetros!$B$5:$B$10,0)),"")/Parâmetros!$C$13,""))</f>
        <v/>
      </c>
      <c r="J119" s="53" t="str">
        <f>IF($B119="","",IFERROR($E119*IFERROR(INDEX(Parâmetros!$E$5:$E$10,MATCH($C119,Parâmetros!$B$5:$B$10,0)),"")-$I119,""))</f>
        <v/>
      </c>
      <c r="K119" s="54" t="str">
        <f>IF($B119="","",IF(NOT(ISNUMBER($J119)),"",IF($J119&lt;=0,"OK - frota cobre a meta do dia",IF($J119&lt;=Parâmetros!$C$15,"ATENCAO - faltam "&amp;TEXT($J119,"0")&amp;" viagem(ns) de frota","CRITICO - faltam "&amp;TEXT($J119,"0")&amp;" viagens: acionar plano"))))</f>
        <v/>
      </c>
      <c r="L119" s="51"/>
      <c r="M119" s="51"/>
      <c r="N119" s="51"/>
      <c r="O119" s="50"/>
      <c r="P119" s="51"/>
      <c r="Q119" s="51"/>
      <c r="R119" s="55"/>
      <c r="S119" s="56"/>
      <c r="T119" s="56"/>
      <c r="U119" s="56"/>
      <c r="V119" s="19"/>
      <c r="W119" s="51"/>
      <c r="X119" s="57" t="str">
        <f t="shared" si="7"/>
        <v/>
      </c>
      <c r="Y119" s="57" t="str">
        <f t="shared" si="8"/>
        <v/>
      </c>
      <c r="Z119" s="57" t="str">
        <f t="shared" si="9"/>
        <v/>
      </c>
      <c r="AA119" s="58" t="str">
        <f t="shared" si="10"/>
        <v/>
      </c>
      <c r="AB119" s="58" t="str">
        <f t="shared" si="11"/>
        <v/>
      </c>
      <c r="AC119" s="57" t="str">
        <f t="shared" si="12"/>
        <v/>
      </c>
      <c r="AD119" s="59" t="str">
        <f t="shared" si="13"/>
        <v/>
      </c>
      <c r="AE119" s="54" t="str">
        <f>IF($B119="","",IF(NOT(ISNUMBER($AA119)),"Aguardando fechamento",IF($P119&gt;0,"ACAO: "&amp;TEXT($P119,"0")&amp;" carga(s) terceirizada(s) de forma evitavel",IF(IF(ISNUMBER($Z119),$Z119,0)&gt;IFERROR(INDEX(Parâmetros!$G$5:$G$10,MATCH($C119,Parâmetros!$B$5:$B$10,0)),""),"ALERTA: terceiros acima da meta",IF($AA119&gt;IFERROR(INDEX(Parâmetros!$D$5:$D$10,MATCH($C119,Parâmetros!$B$5:$B$10,0)),""),"ALERTA: custo/km acima da meta","OK - dentro das metas")))))</f>
        <v/>
      </c>
    </row>
    <row r="120" spans="2:31" ht="15" customHeight="1" x14ac:dyDescent="0.3">
      <c r="B120" s="48"/>
      <c r="C120" s="49"/>
      <c r="D120" s="50"/>
      <c r="E120" s="51"/>
      <c r="F120" s="52"/>
      <c r="G120" s="51"/>
      <c r="H120" s="51"/>
      <c r="I120" s="53" t="str">
        <f>IF($B120="","",IFERROR($G120*IFERROR(INDEX(Parâmetros!$C$5:$C$10,MATCH($C120,Parâmetros!$B$5:$B$10,0)),"")/Parâmetros!$C$13,""))</f>
        <v/>
      </c>
      <c r="J120" s="53" t="str">
        <f>IF($B120="","",IFERROR($E120*IFERROR(INDEX(Parâmetros!$E$5:$E$10,MATCH($C120,Parâmetros!$B$5:$B$10,0)),"")-$I120,""))</f>
        <v/>
      </c>
      <c r="K120" s="54" t="str">
        <f>IF($B120="","",IF(NOT(ISNUMBER($J120)),"",IF($J120&lt;=0,"OK - frota cobre a meta do dia",IF($J120&lt;=Parâmetros!$C$15,"ATENCAO - faltam "&amp;TEXT($J120,"0")&amp;" viagem(ns) de frota","CRITICO - faltam "&amp;TEXT($J120,"0")&amp;" viagens: acionar plano"))))</f>
        <v/>
      </c>
      <c r="L120" s="51"/>
      <c r="M120" s="51"/>
      <c r="N120" s="51"/>
      <c r="O120" s="50"/>
      <c r="P120" s="51"/>
      <c r="Q120" s="51"/>
      <c r="R120" s="55"/>
      <c r="S120" s="56"/>
      <c r="T120" s="56"/>
      <c r="U120" s="56"/>
      <c r="V120" s="19"/>
      <c r="W120" s="51"/>
      <c r="X120" s="57" t="str">
        <f t="shared" si="7"/>
        <v/>
      </c>
      <c r="Y120" s="57" t="str">
        <f t="shared" si="8"/>
        <v/>
      </c>
      <c r="Z120" s="57" t="str">
        <f t="shared" si="9"/>
        <v/>
      </c>
      <c r="AA120" s="58" t="str">
        <f t="shared" si="10"/>
        <v/>
      </c>
      <c r="AB120" s="58" t="str">
        <f t="shared" si="11"/>
        <v/>
      </c>
      <c r="AC120" s="57" t="str">
        <f t="shared" si="12"/>
        <v/>
      </c>
      <c r="AD120" s="59" t="str">
        <f t="shared" si="13"/>
        <v/>
      </c>
      <c r="AE120" s="54" t="str">
        <f>IF($B120="","",IF(NOT(ISNUMBER($AA120)),"Aguardando fechamento",IF($P120&gt;0,"ACAO: "&amp;TEXT($P120,"0")&amp;" carga(s) terceirizada(s) de forma evitavel",IF(IF(ISNUMBER($Z120),$Z120,0)&gt;IFERROR(INDEX(Parâmetros!$G$5:$G$10,MATCH($C120,Parâmetros!$B$5:$B$10,0)),""),"ALERTA: terceiros acima da meta",IF($AA120&gt;IFERROR(INDEX(Parâmetros!$D$5:$D$10,MATCH($C120,Parâmetros!$B$5:$B$10,0)),""),"ALERTA: custo/km acima da meta","OK - dentro das metas")))))</f>
        <v/>
      </c>
    </row>
    <row r="121" spans="2:31" ht="15" customHeight="1" x14ac:dyDescent="0.3">
      <c r="B121" s="48"/>
      <c r="C121" s="49"/>
      <c r="D121" s="50"/>
      <c r="E121" s="51"/>
      <c r="F121" s="52"/>
      <c r="G121" s="51"/>
      <c r="H121" s="51"/>
      <c r="I121" s="53" t="str">
        <f>IF($B121="","",IFERROR($G121*IFERROR(INDEX(Parâmetros!$C$5:$C$10,MATCH($C121,Parâmetros!$B$5:$B$10,0)),"")/Parâmetros!$C$13,""))</f>
        <v/>
      </c>
      <c r="J121" s="53" t="str">
        <f>IF($B121="","",IFERROR($E121*IFERROR(INDEX(Parâmetros!$E$5:$E$10,MATCH($C121,Parâmetros!$B$5:$B$10,0)),"")-$I121,""))</f>
        <v/>
      </c>
      <c r="K121" s="54" t="str">
        <f>IF($B121="","",IF(NOT(ISNUMBER($J121)),"",IF($J121&lt;=0,"OK - frota cobre a meta do dia",IF($J121&lt;=Parâmetros!$C$15,"ATENCAO - faltam "&amp;TEXT($J121,"0")&amp;" viagem(ns) de frota","CRITICO - faltam "&amp;TEXT($J121,"0")&amp;" viagens: acionar plano"))))</f>
        <v/>
      </c>
      <c r="L121" s="51"/>
      <c r="M121" s="51"/>
      <c r="N121" s="51"/>
      <c r="O121" s="50"/>
      <c r="P121" s="51"/>
      <c r="Q121" s="51"/>
      <c r="R121" s="55"/>
      <c r="S121" s="56"/>
      <c r="T121" s="56"/>
      <c r="U121" s="56"/>
      <c r="V121" s="19"/>
      <c r="W121" s="51"/>
      <c r="X121" s="57" t="str">
        <f t="shared" si="7"/>
        <v/>
      </c>
      <c r="Y121" s="57" t="str">
        <f t="shared" si="8"/>
        <v/>
      </c>
      <c r="Z121" s="57" t="str">
        <f t="shared" si="9"/>
        <v/>
      </c>
      <c r="AA121" s="58" t="str">
        <f t="shared" si="10"/>
        <v/>
      </c>
      <c r="AB121" s="58" t="str">
        <f t="shared" si="11"/>
        <v/>
      </c>
      <c r="AC121" s="57" t="str">
        <f t="shared" si="12"/>
        <v/>
      </c>
      <c r="AD121" s="59" t="str">
        <f t="shared" si="13"/>
        <v/>
      </c>
      <c r="AE121" s="54" t="str">
        <f>IF($B121="","",IF(NOT(ISNUMBER($AA121)),"Aguardando fechamento",IF($P121&gt;0,"ACAO: "&amp;TEXT($P121,"0")&amp;" carga(s) terceirizada(s) de forma evitavel",IF(IF(ISNUMBER($Z121),$Z121,0)&gt;IFERROR(INDEX(Parâmetros!$G$5:$G$10,MATCH($C121,Parâmetros!$B$5:$B$10,0)),""),"ALERTA: terceiros acima da meta",IF($AA121&gt;IFERROR(INDEX(Parâmetros!$D$5:$D$10,MATCH($C121,Parâmetros!$B$5:$B$10,0)),""),"ALERTA: custo/km acima da meta","OK - dentro das metas")))))</f>
        <v/>
      </c>
    </row>
    <row r="122" spans="2:31" ht="15" customHeight="1" x14ac:dyDescent="0.3">
      <c r="B122" s="48"/>
      <c r="C122" s="49"/>
      <c r="D122" s="50"/>
      <c r="E122" s="51"/>
      <c r="F122" s="52"/>
      <c r="G122" s="51"/>
      <c r="H122" s="51"/>
      <c r="I122" s="53" t="str">
        <f>IF($B122="","",IFERROR($G122*IFERROR(INDEX(Parâmetros!$C$5:$C$10,MATCH($C122,Parâmetros!$B$5:$B$10,0)),"")/Parâmetros!$C$13,""))</f>
        <v/>
      </c>
      <c r="J122" s="53" t="str">
        <f>IF($B122="","",IFERROR($E122*IFERROR(INDEX(Parâmetros!$E$5:$E$10,MATCH($C122,Parâmetros!$B$5:$B$10,0)),"")-$I122,""))</f>
        <v/>
      </c>
      <c r="K122" s="54" t="str">
        <f>IF($B122="","",IF(NOT(ISNUMBER($J122)),"",IF($J122&lt;=0,"OK - frota cobre a meta do dia",IF($J122&lt;=Parâmetros!$C$15,"ATENCAO - faltam "&amp;TEXT($J122,"0")&amp;" viagem(ns) de frota","CRITICO - faltam "&amp;TEXT($J122,"0")&amp;" viagens: acionar plano"))))</f>
        <v/>
      </c>
      <c r="L122" s="51"/>
      <c r="M122" s="51"/>
      <c r="N122" s="51"/>
      <c r="O122" s="50"/>
      <c r="P122" s="51"/>
      <c r="Q122" s="51"/>
      <c r="R122" s="55"/>
      <c r="S122" s="56"/>
      <c r="T122" s="56"/>
      <c r="U122" s="56"/>
      <c r="V122" s="19"/>
      <c r="W122" s="51"/>
      <c r="X122" s="57" t="str">
        <f t="shared" si="7"/>
        <v/>
      </c>
      <c r="Y122" s="57" t="str">
        <f t="shared" si="8"/>
        <v/>
      </c>
      <c r="Z122" s="57" t="str">
        <f t="shared" si="9"/>
        <v/>
      </c>
      <c r="AA122" s="58" t="str">
        <f t="shared" si="10"/>
        <v/>
      </c>
      <c r="AB122" s="58" t="str">
        <f t="shared" si="11"/>
        <v/>
      </c>
      <c r="AC122" s="57" t="str">
        <f t="shared" si="12"/>
        <v/>
      </c>
      <c r="AD122" s="59" t="str">
        <f t="shared" si="13"/>
        <v/>
      </c>
      <c r="AE122" s="54" t="str">
        <f>IF($B122="","",IF(NOT(ISNUMBER($AA122)),"Aguardando fechamento",IF($P122&gt;0,"ACAO: "&amp;TEXT($P122,"0")&amp;" carga(s) terceirizada(s) de forma evitavel",IF(IF(ISNUMBER($Z122),$Z122,0)&gt;IFERROR(INDEX(Parâmetros!$G$5:$G$10,MATCH($C122,Parâmetros!$B$5:$B$10,0)),""),"ALERTA: terceiros acima da meta",IF($AA122&gt;IFERROR(INDEX(Parâmetros!$D$5:$D$10,MATCH($C122,Parâmetros!$B$5:$B$10,0)),""),"ALERTA: custo/km acima da meta","OK - dentro das metas")))))</f>
        <v/>
      </c>
    </row>
    <row r="123" spans="2:31" ht="15" customHeight="1" x14ac:dyDescent="0.3">
      <c r="B123" s="48"/>
      <c r="C123" s="49"/>
      <c r="D123" s="50"/>
      <c r="E123" s="51"/>
      <c r="F123" s="52"/>
      <c r="G123" s="51"/>
      <c r="H123" s="51"/>
      <c r="I123" s="53" t="str">
        <f>IF($B123="","",IFERROR($G123*IFERROR(INDEX(Parâmetros!$C$5:$C$10,MATCH($C123,Parâmetros!$B$5:$B$10,0)),"")/Parâmetros!$C$13,""))</f>
        <v/>
      </c>
      <c r="J123" s="53" t="str">
        <f>IF($B123="","",IFERROR($E123*IFERROR(INDEX(Parâmetros!$E$5:$E$10,MATCH($C123,Parâmetros!$B$5:$B$10,0)),"")-$I123,""))</f>
        <v/>
      </c>
      <c r="K123" s="54" t="str">
        <f>IF($B123="","",IF(NOT(ISNUMBER($J123)),"",IF($J123&lt;=0,"OK - frota cobre a meta do dia",IF($J123&lt;=Parâmetros!$C$15,"ATENCAO - faltam "&amp;TEXT($J123,"0")&amp;" viagem(ns) de frota","CRITICO - faltam "&amp;TEXT($J123,"0")&amp;" viagens: acionar plano"))))</f>
        <v/>
      </c>
      <c r="L123" s="51"/>
      <c r="M123" s="51"/>
      <c r="N123" s="51"/>
      <c r="O123" s="50"/>
      <c r="P123" s="51"/>
      <c r="Q123" s="51"/>
      <c r="R123" s="55"/>
      <c r="S123" s="56"/>
      <c r="T123" s="56"/>
      <c r="U123" s="56"/>
      <c r="V123" s="19"/>
      <c r="W123" s="51"/>
      <c r="X123" s="57" t="str">
        <f t="shared" si="7"/>
        <v/>
      </c>
      <c r="Y123" s="57" t="str">
        <f t="shared" si="8"/>
        <v/>
      </c>
      <c r="Z123" s="57" t="str">
        <f t="shared" si="9"/>
        <v/>
      </c>
      <c r="AA123" s="58" t="str">
        <f t="shared" si="10"/>
        <v/>
      </c>
      <c r="AB123" s="58" t="str">
        <f t="shared" si="11"/>
        <v/>
      </c>
      <c r="AC123" s="57" t="str">
        <f t="shared" si="12"/>
        <v/>
      </c>
      <c r="AD123" s="59" t="str">
        <f t="shared" si="13"/>
        <v/>
      </c>
      <c r="AE123" s="54" t="str">
        <f>IF($B123="","",IF(NOT(ISNUMBER($AA123)),"Aguardando fechamento",IF($P123&gt;0,"ACAO: "&amp;TEXT($P123,"0")&amp;" carga(s) terceirizada(s) de forma evitavel",IF(IF(ISNUMBER($Z123),$Z123,0)&gt;IFERROR(INDEX(Parâmetros!$G$5:$G$10,MATCH($C123,Parâmetros!$B$5:$B$10,0)),""),"ALERTA: terceiros acima da meta",IF($AA123&gt;IFERROR(INDEX(Parâmetros!$D$5:$D$10,MATCH($C123,Parâmetros!$B$5:$B$10,0)),""),"ALERTA: custo/km acima da meta","OK - dentro das metas")))))</f>
        <v/>
      </c>
    </row>
    <row r="124" spans="2:31" ht="15" customHeight="1" x14ac:dyDescent="0.3">
      <c r="B124" s="48"/>
      <c r="C124" s="49"/>
      <c r="D124" s="50"/>
      <c r="E124" s="51"/>
      <c r="F124" s="52"/>
      <c r="G124" s="51"/>
      <c r="H124" s="51"/>
      <c r="I124" s="53" t="str">
        <f>IF($B124="","",IFERROR($G124*IFERROR(INDEX(Parâmetros!$C$5:$C$10,MATCH($C124,Parâmetros!$B$5:$B$10,0)),"")/Parâmetros!$C$13,""))</f>
        <v/>
      </c>
      <c r="J124" s="53" t="str">
        <f>IF($B124="","",IFERROR($E124*IFERROR(INDEX(Parâmetros!$E$5:$E$10,MATCH($C124,Parâmetros!$B$5:$B$10,0)),"")-$I124,""))</f>
        <v/>
      </c>
      <c r="K124" s="54" t="str">
        <f>IF($B124="","",IF(NOT(ISNUMBER($J124)),"",IF($J124&lt;=0,"OK - frota cobre a meta do dia",IF($J124&lt;=Parâmetros!$C$15,"ATENCAO - faltam "&amp;TEXT($J124,"0")&amp;" viagem(ns) de frota","CRITICO - faltam "&amp;TEXT($J124,"0")&amp;" viagens: acionar plano"))))</f>
        <v/>
      </c>
      <c r="L124" s="51"/>
      <c r="M124" s="51"/>
      <c r="N124" s="51"/>
      <c r="O124" s="50"/>
      <c r="P124" s="51"/>
      <c r="Q124" s="51"/>
      <c r="R124" s="55"/>
      <c r="S124" s="56"/>
      <c r="T124" s="56"/>
      <c r="U124" s="56"/>
      <c r="V124" s="19"/>
      <c r="W124" s="51"/>
      <c r="X124" s="57" t="str">
        <f t="shared" si="7"/>
        <v/>
      </c>
      <c r="Y124" s="57" t="str">
        <f t="shared" si="8"/>
        <v/>
      </c>
      <c r="Z124" s="57" t="str">
        <f t="shared" si="9"/>
        <v/>
      </c>
      <c r="AA124" s="58" t="str">
        <f t="shared" si="10"/>
        <v/>
      </c>
      <c r="AB124" s="58" t="str">
        <f t="shared" si="11"/>
        <v/>
      </c>
      <c r="AC124" s="57" t="str">
        <f t="shared" si="12"/>
        <v/>
      </c>
      <c r="AD124" s="59" t="str">
        <f t="shared" si="13"/>
        <v/>
      </c>
      <c r="AE124" s="54" t="str">
        <f>IF($B124="","",IF(NOT(ISNUMBER($AA124)),"Aguardando fechamento",IF($P124&gt;0,"ACAO: "&amp;TEXT($P124,"0")&amp;" carga(s) terceirizada(s) de forma evitavel",IF(IF(ISNUMBER($Z124),$Z124,0)&gt;IFERROR(INDEX(Parâmetros!$G$5:$G$10,MATCH($C124,Parâmetros!$B$5:$B$10,0)),""),"ALERTA: terceiros acima da meta",IF($AA124&gt;IFERROR(INDEX(Parâmetros!$D$5:$D$10,MATCH($C124,Parâmetros!$B$5:$B$10,0)),""),"ALERTA: custo/km acima da meta","OK - dentro das metas")))))</f>
        <v/>
      </c>
    </row>
    <row r="125" spans="2:31" ht="15" customHeight="1" x14ac:dyDescent="0.3">
      <c r="B125" s="48"/>
      <c r="C125" s="49"/>
      <c r="D125" s="50"/>
      <c r="E125" s="51"/>
      <c r="F125" s="52"/>
      <c r="G125" s="51"/>
      <c r="H125" s="51"/>
      <c r="I125" s="53" t="str">
        <f>IF($B125="","",IFERROR($G125*IFERROR(INDEX(Parâmetros!$C$5:$C$10,MATCH($C125,Parâmetros!$B$5:$B$10,0)),"")/Parâmetros!$C$13,""))</f>
        <v/>
      </c>
      <c r="J125" s="53" t="str">
        <f>IF($B125="","",IFERROR($E125*IFERROR(INDEX(Parâmetros!$E$5:$E$10,MATCH($C125,Parâmetros!$B$5:$B$10,0)),"")-$I125,""))</f>
        <v/>
      </c>
      <c r="K125" s="54" t="str">
        <f>IF($B125="","",IF(NOT(ISNUMBER($J125)),"",IF($J125&lt;=0,"OK - frota cobre a meta do dia",IF($J125&lt;=Parâmetros!$C$15,"ATENCAO - faltam "&amp;TEXT($J125,"0")&amp;" viagem(ns) de frota","CRITICO - faltam "&amp;TEXT($J125,"0")&amp;" viagens: acionar plano"))))</f>
        <v/>
      </c>
      <c r="L125" s="51"/>
      <c r="M125" s="51"/>
      <c r="N125" s="51"/>
      <c r="O125" s="50"/>
      <c r="P125" s="51"/>
      <c r="Q125" s="51"/>
      <c r="R125" s="55"/>
      <c r="S125" s="56"/>
      <c r="T125" s="56"/>
      <c r="U125" s="56"/>
      <c r="V125" s="19"/>
      <c r="W125" s="51"/>
      <c r="X125" s="57" t="str">
        <f t="shared" si="7"/>
        <v/>
      </c>
      <c r="Y125" s="57" t="str">
        <f t="shared" si="8"/>
        <v/>
      </c>
      <c r="Z125" s="57" t="str">
        <f t="shared" si="9"/>
        <v/>
      </c>
      <c r="AA125" s="58" t="str">
        <f t="shared" si="10"/>
        <v/>
      </c>
      <c r="AB125" s="58" t="str">
        <f t="shared" si="11"/>
        <v/>
      </c>
      <c r="AC125" s="57" t="str">
        <f t="shared" si="12"/>
        <v/>
      </c>
      <c r="AD125" s="59" t="str">
        <f t="shared" si="13"/>
        <v/>
      </c>
      <c r="AE125" s="54" t="str">
        <f>IF($B125="","",IF(NOT(ISNUMBER($AA125)),"Aguardando fechamento",IF($P125&gt;0,"ACAO: "&amp;TEXT($P125,"0")&amp;" carga(s) terceirizada(s) de forma evitavel",IF(IF(ISNUMBER($Z125),$Z125,0)&gt;IFERROR(INDEX(Parâmetros!$G$5:$G$10,MATCH($C125,Parâmetros!$B$5:$B$10,0)),""),"ALERTA: terceiros acima da meta",IF($AA125&gt;IFERROR(INDEX(Parâmetros!$D$5:$D$10,MATCH($C125,Parâmetros!$B$5:$B$10,0)),""),"ALERTA: custo/km acima da meta","OK - dentro das metas")))))</f>
        <v/>
      </c>
    </row>
    <row r="126" spans="2:31" ht="15" customHeight="1" x14ac:dyDescent="0.3">
      <c r="B126" s="48"/>
      <c r="C126" s="49"/>
      <c r="D126" s="50"/>
      <c r="E126" s="51"/>
      <c r="F126" s="52"/>
      <c r="G126" s="51"/>
      <c r="H126" s="51"/>
      <c r="I126" s="53" t="str">
        <f>IF($B126="","",IFERROR($G126*IFERROR(INDEX(Parâmetros!$C$5:$C$10,MATCH($C126,Parâmetros!$B$5:$B$10,0)),"")/Parâmetros!$C$13,""))</f>
        <v/>
      </c>
      <c r="J126" s="53" t="str">
        <f>IF($B126="","",IFERROR($E126*IFERROR(INDEX(Parâmetros!$E$5:$E$10,MATCH($C126,Parâmetros!$B$5:$B$10,0)),"")-$I126,""))</f>
        <v/>
      </c>
      <c r="K126" s="54" t="str">
        <f>IF($B126="","",IF(NOT(ISNUMBER($J126)),"",IF($J126&lt;=0,"OK - frota cobre a meta do dia",IF($J126&lt;=Parâmetros!$C$15,"ATENCAO - faltam "&amp;TEXT($J126,"0")&amp;" viagem(ns) de frota","CRITICO - faltam "&amp;TEXT($J126,"0")&amp;" viagens: acionar plano"))))</f>
        <v/>
      </c>
      <c r="L126" s="51"/>
      <c r="M126" s="51"/>
      <c r="N126" s="51"/>
      <c r="O126" s="50"/>
      <c r="P126" s="51"/>
      <c r="Q126" s="51"/>
      <c r="R126" s="55"/>
      <c r="S126" s="56"/>
      <c r="T126" s="56"/>
      <c r="U126" s="56"/>
      <c r="V126" s="19"/>
      <c r="W126" s="51"/>
      <c r="X126" s="57" t="str">
        <f t="shared" si="7"/>
        <v/>
      </c>
      <c r="Y126" s="57" t="str">
        <f t="shared" si="8"/>
        <v/>
      </c>
      <c r="Z126" s="57" t="str">
        <f t="shared" si="9"/>
        <v/>
      </c>
      <c r="AA126" s="58" t="str">
        <f t="shared" si="10"/>
        <v/>
      </c>
      <c r="AB126" s="58" t="str">
        <f t="shared" si="11"/>
        <v/>
      </c>
      <c r="AC126" s="57" t="str">
        <f t="shared" si="12"/>
        <v/>
      </c>
      <c r="AD126" s="59" t="str">
        <f t="shared" si="13"/>
        <v/>
      </c>
      <c r="AE126" s="54" t="str">
        <f>IF($B126="","",IF(NOT(ISNUMBER($AA126)),"Aguardando fechamento",IF($P126&gt;0,"ACAO: "&amp;TEXT($P126,"0")&amp;" carga(s) terceirizada(s) de forma evitavel",IF(IF(ISNUMBER($Z126),$Z126,0)&gt;IFERROR(INDEX(Parâmetros!$G$5:$G$10,MATCH($C126,Parâmetros!$B$5:$B$10,0)),""),"ALERTA: terceiros acima da meta",IF($AA126&gt;IFERROR(INDEX(Parâmetros!$D$5:$D$10,MATCH($C126,Parâmetros!$B$5:$B$10,0)),""),"ALERTA: custo/km acima da meta","OK - dentro das metas")))))</f>
        <v/>
      </c>
    </row>
    <row r="127" spans="2:31" ht="15" customHeight="1" x14ac:dyDescent="0.3">
      <c r="B127" s="48"/>
      <c r="C127" s="49"/>
      <c r="D127" s="50"/>
      <c r="E127" s="51"/>
      <c r="F127" s="52"/>
      <c r="G127" s="51"/>
      <c r="H127" s="51"/>
      <c r="I127" s="53" t="str">
        <f>IF($B127="","",IFERROR($G127*IFERROR(INDEX(Parâmetros!$C$5:$C$10,MATCH($C127,Parâmetros!$B$5:$B$10,0)),"")/Parâmetros!$C$13,""))</f>
        <v/>
      </c>
      <c r="J127" s="53" t="str">
        <f>IF($B127="","",IFERROR($E127*IFERROR(INDEX(Parâmetros!$E$5:$E$10,MATCH($C127,Parâmetros!$B$5:$B$10,0)),"")-$I127,""))</f>
        <v/>
      </c>
      <c r="K127" s="54" t="str">
        <f>IF($B127="","",IF(NOT(ISNUMBER($J127)),"",IF($J127&lt;=0,"OK - frota cobre a meta do dia",IF($J127&lt;=Parâmetros!$C$15,"ATENCAO - faltam "&amp;TEXT($J127,"0")&amp;" viagem(ns) de frota","CRITICO - faltam "&amp;TEXT($J127,"0")&amp;" viagens: acionar plano"))))</f>
        <v/>
      </c>
      <c r="L127" s="51"/>
      <c r="M127" s="51"/>
      <c r="N127" s="51"/>
      <c r="O127" s="50"/>
      <c r="P127" s="51"/>
      <c r="Q127" s="51"/>
      <c r="R127" s="55"/>
      <c r="S127" s="56"/>
      <c r="T127" s="56"/>
      <c r="U127" s="56"/>
      <c r="V127" s="19"/>
      <c r="W127" s="51"/>
      <c r="X127" s="57" t="str">
        <f t="shared" si="7"/>
        <v/>
      </c>
      <c r="Y127" s="57" t="str">
        <f t="shared" si="8"/>
        <v/>
      </c>
      <c r="Z127" s="57" t="str">
        <f t="shared" si="9"/>
        <v/>
      </c>
      <c r="AA127" s="58" t="str">
        <f t="shared" si="10"/>
        <v/>
      </c>
      <c r="AB127" s="58" t="str">
        <f t="shared" si="11"/>
        <v/>
      </c>
      <c r="AC127" s="57" t="str">
        <f t="shared" si="12"/>
        <v/>
      </c>
      <c r="AD127" s="59" t="str">
        <f t="shared" si="13"/>
        <v/>
      </c>
      <c r="AE127" s="54" t="str">
        <f>IF($B127="","",IF(NOT(ISNUMBER($AA127)),"Aguardando fechamento",IF($P127&gt;0,"ACAO: "&amp;TEXT($P127,"0")&amp;" carga(s) terceirizada(s) de forma evitavel",IF(IF(ISNUMBER($Z127),$Z127,0)&gt;IFERROR(INDEX(Parâmetros!$G$5:$G$10,MATCH($C127,Parâmetros!$B$5:$B$10,0)),""),"ALERTA: terceiros acima da meta",IF($AA127&gt;IFERROR(INDEX(Parâmetros!$D$5:$D$10,MATCH($C127,Parâmetros!$B$5:$B$10,0)),""),"ALERTA: custo/km acima da meta","OK - dentro das metas")))))</f>
        <v/>
      </c>
    </row>
    <row r="128" spans="2:31" ht="15" customHeight="1" x14ac:dyDescent="0.3">
      <c r="B128" s="48"/>
      <c r="C128" s="49"/>
      <c r="D128" s="50"/>
      <c r="E128" s="51"/>
      <c r="F128" s="52"/>
      <c r="G128" s="51"/>
      <c r="H128" s="51"/>
      <c r="I128" s="53" t="str">
        <f>IF($B128="","",IFERROR($G128*IFERROR(INDEX(Parâmetros!$C$5:$C$10,MATCH($C128,Parâmetros!$B$5:$B$10,0)),"")/Parâmetros!$C$13,""))</f>
        <v/>
      </c>
      <c r="J128" s="53" t="str">
        <f>IF($B128="","",IFERROR($E128*IFERROR(INDEX(Parâmetros!$E$5:$E$10,MATCH($C128,Parâmetros!$B$5:$B$10,0)),"")-$I128,""))</f>
        <v/>
      </c>
      <c r="K128" s="54" t="str">
        <f>IF($B128="","",IF(NOT(ISNUMBER($J128)),"",IF($J128&lt;=0,"OK - frota cobre a meta do dia",IF($J128&lt;=Parâmetros!$C$15,"ATENCAO - faltam "&amp;TEXT($J128,"0")&amp;" viagem(ns) de frota","CRITICO - faltam "&amp;TEXT($J128,"0")&amp;" viagens: acionar plano"))))</f>
        <v/>
      </c>
      <c r="L128" s="51"/>
      <c r="M128" s="51"/>
      <c r="N128" s="51"/>
      <c r="O128" s="50"/>
      <c r="P128" s="51"/>
      <c r="Q128" s="51"/>
      <c r="R128" s="55"/>
      <c r="S128" s="56"/>
      <c r="T128" s="56"/>
      <c r="U128" s="56"/>
      <c r="V128" s="19"/>
      <c r="W128" s="51"/>
      <c r="X128" s="57" t="str">
        <f t="shared" si="7"/>
        <v/>
      </c>
      <c r="Y128" s="57" t="str">
        <f t="shared" si="8"/>
        <v/>
      </c>
      <c r="Z128" s="57" t="str">
        <f t="shared" si="9"/>
        <v/>
      </c>
      <c r="AA128" s="58" t="str">
        <f t="shared" si="10"/>
        <v/>
      </c>
      <c r="AB128" s="58" t="str">
        <f t="shared" si="11"/>
        <v/>
      </c>
      <c r="AC128" s="57" t="str">
        <f t="shared" si="12"/>
        <v/>
      </c>
      <c r="AD128" s="59" t="str">
        <f t="shared" si="13"/>
        <v/>
      </c>
      <c r="AE128" s="54" t="str">
        <f>IF($B128="","",IF(NOT(ISNUMBER($AA128)),"Aguardando fechamento",IF($P128&gt;0,"ACAO: "&amp;TEXT($P128,"0")&amp;" carga(s) terceirizada(s) de forma evitavel",IF(IF(ISNUMBER($Z128),$Z128,0)&gt;IFERROR(INDEX(Parâmetros!$G$5:$G$10,MATCH($C128,Parâmetros!$B$5:$B$10,0)),""),"ALERTA: terceiros acima da meta",IF($AA128&gt;IFERROR(INDEX(Parâmetros!$D$5:$D$10,MATCH($C128,Parâmetros!$B$5:$B$10,0)),""),"ALERTA: custo/km acima da meta","OK - dentro das metas")))))</f>
        <v/>
      </c>
    </row>
    <row r="129" spans="2:31" ht="15" customHeight="1" x14ac:dyDescent="0.3">
      <c r="B129" s="48"/>
      <c r="C129" s="49"/>
      <c r="D129" s="50"/>
      <c r="E129" s="51"/>
      <c r="F129" s="52"/>
      <c r="G129" s="51"/>
      <c r="H129" s="51"/>
      <c r="I129" s="53" t="str">
        <f>IF($B129="","",IFERROR($G129*IFERROR(INDEX(Parâmetros!$C$5:$C$10,MATCH($C129,Parâmetros!$B$5:$B$10,0)),"")/Parâmetros!$C$13,""))</f>
        <v/>
      </c>
      <c r="J129" s="53" t="str">
        <f>IF($B129="","",IFERROR($E129*IFERROR(INDEX(Parâmetros!$E$5:$E$10,MATCH($C129,Parâmetros!$B$5:$B$10,0)),"")-$I129,""))</f>
        <v/>
      </c>
      <c r="K129" s="54" t="str">
        <f>IF($B129="","",IF(NOT(ISNUMBER($J129)),"",IF($J129&lt;=0,"OK - frota cobre a meta do dia",IF($J129&lt;=Parâmetros!$C$15,"ATENCAO - faltam "&amp;TEXT($J129,"0")&amp;" viagem(ns) de frota","CRITICO - faltam "&amp;TEXT($J129,"0")&amp;" viagens: acionar plano"))))</f>
        <v/>
      </c>
      <c r="L129" s="51"/>
      <c r="M129" s="51"/>
      <c r="N129" s="51"/>
      <c r="O129" s="50"/>
      <c r="P129" s="51"/>
      <c r="Q129" s="51"/>
      <c r="R129" s="55"/>
      <c r="S129" s="56"/>
      <c r="T129" s="56"/>
      <c r="U129" s="56"/>
      <c r="V129" s="19"/>
      <c r="W129" s="51"/>
      <c r="X129" s="57" t="str">
        <f t="shared" si="7"/>
        <v/>
      </c>
      <c r="Y129" s="57" t="str">
        <f t="shared" si="8"/>
        <v/>
      </c>
      <c r="Z129" s="57" t="str">
        <f t="shared" si="9"/>
        <v/>
      </c>
      <c r="AA129" s="58" t="str">
        <f t="shared" si="10"/>
        <v/>
      </c>
      <c r="AB129" s="58" t="str">
        <f t="shared" si="11"/>
        <v/>
      </c>
      <c r="AC129" s="57" t="str">
        <f t="shared" si="12"/>
        <v/>
      </c>
      <c r="AD129" s="59" t="str">
        <f t="shared" si="13"/>
        <v/>
      </c>
      <c r="AE129" s="54" t="str">
        <f>IF($B129="","",IF(NOT(ISNUMBER($AA129)),"Aguardando fechamento",IF($P129&gt;0,"ACAO: "&amp;TEXT($P129,"0")&amp;" carga(s) terceirizada(s) de forma evitavel",IF(IF(ISNUMBER($Z129),$Z129,0)&gt;IFERROR(INDEX(Parâmetros!$G$5:$G$10,MATCH($C129,Parâmetros!$B$5:$B$10,0)),""),"ALERTA: terceiros acima da meta",IF($AA129&gt;IFERROR(INDEX(Parâmetros!$D$5:$D$10,MATCH($C129,Parâmetros!$B$5:$B$10,0)),""),"ALERTA: custo/km acima da meta","OK - dentro das metas")))))</f>
        <v/>
      </c>
    </row>
    <row r="130" spans="2:31" ht="15" customHeight="1" x14ac:dyDescent="0.3">
      <c r="B130" s="48"/>
      <c r="C130" s="49"/>
      <c r="D130" s="50"/>
      <c r="E130" s="51"/>
      <c r="F130" s="52"/>
      <c r="G130" s="51"/>
      <c r="H130" s="51"/>
      <c r="I130" s="53" t="str">
        <f>IF($B130="","",IFERROR($G130*IFERROR(INDEX(Parâmetros!$C$5:$C$10,MATCH($C130,Parâmetros!$B$5:$B$10,0)),"")/Parâmetros!$C$13,""))</f>
        <v/>
      </c>
      <c r="J130" s="53" t="str">
        <f>IF($B130="","",IFERROR($E130*IFERROR(INDEX(Parâmetros!$E$5:$E$10,MATCH($C130,Parâmetros!$B$5:$B$10,0)),"")-$I130,""))</f>
        <v/>
      </c>
      <c r="K130" s="54" t="str">
        <f>IF($B130="","",IF(NOT(ISNUMBER($J130)),"",IF($J130&lt;=0,"OK - frota cobre a meta do dia",IF($J130&lt;=Parâmetros!$C$15,"ATENCAO - faltam "&amp;TEXT($J130,"0")&amp;" viagem(ns) de frota","CRITICO - faltam "&amp;TEXT($J130,"0")&amp;" viagens: acionar plano"))))</f>
        <v/>
      </c>
      <c r="L130" s="51"/>
      <c r="M130" s="51"/>
      <c r="N130" s="51"/>
      <c r="O130" s="50"/>
      <c r="P130" s="51"/>
      <c r="Q130" s="51"/>
      <c r="R130" s="55"/>
      <c r="S130" s="56"/>
      <c r="T130" s="56"/>
      <c r="U130" s="56"/>
      <c r="V130" s="19"/>
      <c r="W130" s="51"/>
      <c r="X130" s="57" t="str">
        <f t="shared" si="7"/>
        <v/>
      </c>
      <c r="Y130" s="57" t="str">
        <f t="shared" si="8"/>
        <v/>
      </c>
      <c r="Z130" s="57" t="str">
        <f t="shared" si="9"/>
        <v/>
      </c>
      <c r="AA130" s="58" t="str">
        <f t="shared" si="10"/>
        <v/>
      </c>
      <c r="AB130" s="58" t="str">
        <f t="shared" si="11"/>
        <v/>
      </c>
      <c r="AC130" s="57" t="str">
        <f t="shared" si="12"/>
        <v/>
      </c>
      <c r="AD130" s="59" t="str">
        <f t="shared" si="13"/>
        <v/>
      </c>
      <c r="AE130" s="54" t="str">
        <f>IF($B130="","",IF(NOT(ISNUMBER($AA130)),"Aguardando fechamento",IF($P130&gt;0,"ACAO: "&amp;TEXT($P130,"0")&amp;" carga(s) terceirizada(s) de forma evitavel",IF(IF(ISNUMBER($Z130),$Z130,0)&gt;IFERROR(INDEX(Parâmetros!$G$5:$G$10,MATCH($C130,Parâmetros!$B$5:$B$10,0)),""),"ALERTA: terceiros acima da meta",IF($AA130&gt;IFERROR(INDEX(Parâmetros!$D$5:$D$10,MATCH($C130,Parâmetros!$B$5:$B$10,0)),""),"ALERTA: custo/km acima da meta","OK - dentro das metas")))))</f>
        <v/>
      </c>
    </row>
    <row r="131" spans="2:31" ht="15" customHeight="1" x14ac:dyDescent="0.3">
      <c r="B131" s="48"/>
      <c r="C131" s="49"/>
      <c r="D131" s="50"/>
      <c r="E131" s="51"/>
      <c r="F131" s="52"/>
      <c r="G131" s="51"/>
      <c r="H131" s="51"/>
      <c r="I131" s="53" t="str">
        <f>IF($B131="","",IFERROR($G131*IFERROR(INDEX(Parâmetros!$C$5:$C$10,MATCH($C131,Parâmetros!$B$5:$B$10,0)),"")/Parâmetros!$C$13,""))</f>
        <v/>
      </c>
      <c r="J131" s="53" t="str">
        <f>IF($B131="","",IFERROR($E131*IFERROR(INDEX(Parâmetros!$E$5:$E$10,MATCH($C131,Parâmetros!$B$5:$B$10,0)),"")-$I131,""))</f>
        <v/>
      </c>
      <c r="K131" s="54" t="str">
        <f>IF($B131="","",IF(NOT(ISNUMBER($J131)),"",IF($J131&lt;=0,"OK - frota cobre a meta do dia",IF($J131&lt;=Parâmetros!$C$15,"ATENCAO - faltam "&amp;TEXT($J131,"0")&amp;" viagem(ns) de frota","CRITICO - faltam "&amp;TEXT($J131,"0")&amp;" viagens: acionar plano"))))</f>
        <v/>
      </c>
      <c r="L131" s="51"/>
      <c r="M131" s="51"/>
      <c r="N131" s="51"/>
      <c r="O131" s="50"/>
      <c r="P131" s="51"/>
      <c r="Q131" s="51"/>
      <c r="R131" s="55"/>
      <c r="S131" s="56"/>
      <c r="T131" s="56"/>
      <c r="U131" s="56"/>
      <c r="V131" s="19"/>
      <c r="W131" s="51"/>
      <c r="X131" s="57" t="str">
        <f t="shared" si="7"/>
        <v/>
      </c>
      <c r="Y131" s="57" t="str">
        <f t="shared" si="8"/>
        <v/>
      </c>
      <c r="Z131" s="57" t="str">
        <f t="shared" si="9"/>
        <v/>
      </c>
      <c r="AA131" s="58" t="str">
        <f t="shared" si="10"/>
        <v/>
      </c>
      <c r="AB131" s="58" t="str">
        <f t="shared" si="11"/>
        <v/>
      </c>
      <c r="AC131" s="57" t="str">
        <f t="shared" si="12"/>
        <v/>
      </c>
      <c r="AD131" s="59" t="str">
        <f t="shared" si="13"/>
        <v/>
      </c>
      <c r="AE131" s="54" t="str">
        <f>IF($B131="","",IF(NOT(ISNUMBER($AA131)),"Aguardando fechamento",IF($P131&gt;0,"ACAO: "&amp;TEXT($P131,"0")&amp;" carga(s) terceirizada(s) de forma evitavel",IF(IF(ISNUMBER($Z131),$Z131,0)&gt;IFERROR(INDEX(Parâmetros!$G$5:$G$10,MATCH($C131,Parâmetros!$B$5:$B$10,0)),""),"ALERTA: terceiros acima da meta",IF($AA131&gt;IFERROR(INDEX(Parâmetros!$D$5:$D$10,MATCH($C131,Parâmetros!$B$5:$B$10,0)),""),"ALERTA: custo/km acima da meta","OK - dentro das metas")))))</f>
        <v/>
      </c>
    </row>
    <row r="132" spans="2:31" ht="15" customHeight="1" x14ac:dyDescent="0.3">
      <c r="B132" s="48"/>
      <c r="C132" s="49"/>
      <c r="D132" s="50"/>
      <c r="E132" s="51"/>
      <c r="F132" s="52"/>
      <c r="G132" s="51"/>
      <c r="H132" s="51"/>
      <c r="I132" s="53" t="str">
        <f>IF($B132="","",IFERROR($G132*IFERROR(INDEX(Parâmetros!$C$5:$C$10,MATCH($C132,Parâmetros!$B$5:$B$10,0)),"")/Parâmetros!$C$13,""))</f>
        <v/>
      </c>
      <c r="J132" s="53" t="str">
        <f>IF($B132="","",IFERROR($E132*IFERROR(INDEX(Parâmetros!$E$5:$E$10,MATCH($C132,Parâmetros!$B$5:$B$10,0)),"")-$I132,""))</f>
        <v/>
      </c>
      <c r="K132" s="54" t="str">
        <f>IF($B132="","",IF(NOT(ISNUMBER($J132)),"",IF($J132&lt;=0,"OK - frota cobre a meta do dia",IF($J132&lt;=Parâmetros!$C$15,"ATENCAO - faltam "&amp;TEXT($J132,"0")&amp;" viagem(ns) de frota","CRITICO - faltam "&amp;TEXT($J132,"0")&amp;" viagens: acionar plano"))))</f>
        <v/>
      </c>
      <c r="L132" s="51"/>
      <c r="M132" s="51"/>
      <c r="N132" s="51"/>
      <c r="O132" s="50"/>
      <c r="P132" s="51"/>
      <c r="Q132" s="51"/>
      <c r="R132" s="55"/>
      <c r="S132" s="56"/>
      <c r="T132" s="56"/>
      <c r="U132" s="56"/>
      <c r="V132" s="19"/>
      <c r="W132" s="51"/>
      <c r="X132" s="57" t="str">
        <f t="shared" si="7"/>
        <v/>
      </c>
      <c r="Y132" s="57" t="str">
        <f t="shared" si="8"/>
        <v/>
      </c>
      <c r="Z132" s="57" t="str">
        <f t="shared" si="9"/>
        <v/>
      </c>
      <c r="AA132" s="58" t="str">
        <f t="shared" si="10"/>
        <v/>
      </c>
      <c r="AB132" s="58" t="str">
        <f t="shared" si="11"/>
        <v/>
      </c>
      <c r="AC132" s="57" t="str">
        <f t="shared" si="12"/>
        <v/>
      </c>
      <c r="AD132" s="59" t="str">
        <f t="shared" si="13"/>
        <v/>
      </c>
      <c r="AE132" s="54" t="str">
        <f>IF($B132="","",IF(NOT(ISNUMBER($AA132)),"Aguardando fechamento",IF($P132&gt;0,"ACAO: "&amp;TEXT($P132,"0")&amp;" carga(s) terceirizada(s) de forma evitavel",IF(IF(ISNUMBER($Z132),$Z132,0)&gt;IFERROR(INDEX(Parâmetros!$G$5:$G$10,MATCH($C132,Parâmetros!$B$5:$B$10,0)),""),"ALERTA: terceiros acima da meta",IF($AA132&gt;IFERROR(INDEX(Parâmetros!$D$5:$D$10,MATCH($C132,Parâmetros!$B$5:$B$10,0)),""),"ALERTA: custo/km acima da meta","OK - dentro das metas")))))</f>
        <v/>
      </c>
    </row>
    <row r="133" spans="2:31" ht="15" customHeight="1" x14ac:dyDescent="0.3">
      <c r="B133" s="48"/>
      <c r="C133" s="49"/>
      <c r="D133" s="50"/>
      <c r="E133" s="51"/>
      <c r="F133" s="52"/>
      <c r="G133" s="51"/>
      <c r="H133" s="51"/>
      <c r="I133" s="53" t="str">
        <f>IF($B133="","",IFERROR($G133*IFERROR(INDEX(Parâmetros!$C$5:$C$10,MATCH($C133,Parâmetros!$B$5:$B$10,0)),"")/Parâmetros!$C$13,""))</f>
        <v/>
      </c>
      <c r="J133" s="53" t="str">
        <f>IF($B133="","",IFERROR($E133*IFERROR(INDEX(Parâmetros!$E$5:$E$10,MATCH($C133,Parâmetros!$B$5:$B$10,0)),"")-$I133,""))</f>
        <v/>
      </c>
      <c r="K133" s="54" t="str">
        <f>IF($B133="","",IF(NOT(ISNUMBER($J133)),"",IF($J133&lt;=0,"OK - frota cobre a meta do dia",IF($J133&lt;=Parâmetros!$C$15,"ATENCAO - faltam "&amp;TEXT($J133,"0")&amp;" viagem(ns) de frota","CRITICO - faltam "&amp;TEXT($J133,"0")&amp;" viagens: acionar plano"))))</f>
        <v/>
      </c>
      <c r="L133" s="51"/>
      <c r="M133" s="51"/>
      <c r="N133" s="51"/>
      <c r="O133" s="50"/>
      <c r="P133" s="51"/>
      <c r="Q133" s="51"/>
      <c r="R133" s="55"/>
      <c r="S133" s="56"/>
      <c r="T133" s="56"/>
      <c r="U133" s="56"/>
      <c r="V133" s="19"/>
      <c r="W133" s="51"/>
      <c r="X133" s="57" t="str">
        <f t="shared" si="7"/>
        <v/>
      </c>
      <c r="Y133" s="57" t="str">
        <f t="shared" si="8"/>
        <v/>
      </c>
      <c r="Z133" s="57" t="str">
        <f t="shared" si="9"/>
        <v/>
      </c>
      <c r="AA133" s="58" t="str">
        <f t="shared" si="10"/>
        <v/>
      </c>
      <c r="AB133" s="58" t="str">
        <f t="shared" si="11"/>
        <v/>
      </c>
      <c r="AC133" s="57" t="str">
        <f t="shared" si="12"/>
        <v/>
      </c>
      <c r="AD133" s="59" t="str">
        <f t="shared" si="13"/>
        <v/>
      </c>
      <c r="AE133" s="54" t="str">
        <f>IF($B133="","",IF(NOT(ISNUMBER($AA133)),"Aguardando fechamento",IF($P133&gt;0,"ACAO: "&amp;TEXT($P133,"0")&amp;" carga(s) terceirizada(s) de forma evitavel",IF(IF(ISNUMBER($Z133),$Z133,0)&gt;IFERROR(INDEX(Parâmetros!$G$5:$G$10,MATCH($C133,Parâmetros!$B$5:$B$10,0)),""),"ALERTA: terceiros acima da meta",IF($AA133&gt;IFERROR(INDEX(Parâmetros!$D$5:$D$10,MATCH($C133,Parâmetros!$B$5:$B$10,0)),""),"ALERTA: custo/km acima da meta","OK - dentro das metas")))))</f>
        <v/>
      </c>
    </row>
    <row r="134" spans="2:31" ht="15" customHeight="1" x14ac:dyDescent="0.3">
      <c r="B134" s="48"/>
      <c r="C134" s="49"/>
      <c r="D134" s="50"/>
      <c r="E134" s="51"/>
      <c r="F134" s="52"/>
      <c r="G134" s="51"/>
      <c r="H134" s="51"/>
      <c r="I134" s="53" t="str">
        <f>IF($B134="","",IFERROR($G134*IFERROR(INDEX(Parâmetros!$C$5:$C$10,MATCH($C134,Parâmetros!$B$5:$B$10,0)),"")/Parâmetros!$C$13,""))</f>
        <v/>
      </c>
      <c r="J134" s="53" t="str">
        <f>IF($B134="","",IFERROR($E134*IFERROR(INDEX(Parâmetros!$E$5:$E$10,MATCH($C134,Parâmetros!$B$5:$B$10,0)),"")-$I134,""))</f>
        <v/>
      </c>
      <c r="K134" s="54" t="str">
        <f>IF($B134="","",IF(NOT(ISNUMBER($J134)),"",IF($J134&lt;=0,"OK - frota cobre a meta do dia",IF($J134&lt;=Parâmetros!$C$15,"ATENCAO - faltam "&amp;TEXT($J134,"0")&amp;" viagem(ns) de frota","CRITICO - faltam "&amp;TEXT($J134,"0")&amp;" viagens: acionar plano"))))</f>
        <v/>
      </c>
      <c r="L134" s="51"/>
      <c r="M134" s="51"/>
      <c r="N134" s="51"/>
      <c r="O134" s="50"/>
      <c r="P134" s="51"/>
      <c r="Q134" s="51"/>
      <c r="R134" s="55"/>
      <c r="S134" s="56"/>
      <c r="T134" s="56"/>
      <c r="U134" s="56"/>
      <c r="V134" s="19"/>
      <c r="W134" s="51"/>
      <c r="X134" s="57" t="str">
        <f t="shared" ref="X134:X197" si="14">IF($B134="","",IFERROR($L134/($L134+$M134+$N134),""))</f>
        <v/>
      </c>
      <c r="Y134" s="57" t="str">
        <f t="shared" ref="Y134:Y197" si="15">IF($B134="","",IFERROR($M134/($L134+$M134+$N134),""))</f>
        <v/>
      </c>
      <c r="Z134" s="57" t="str">
        <f t="shared" ref="Z134:Z197" si="16">IF($B134="","",IFERROR($N134/($L134+$M134+$N134),""))</f>
        <v/>
      </c>
      <c r="AA134" s="58" t="str">
        <f t="shared" ref="AA134:AA197" si="17">IF($B134="","",IFERROR($S134/$R134,""))</f>
        <v/>
      </c>
      <c r="AB134" s="58" t="str">
        <f t="shared" ref="AB134:AB197" si="18">IF($B134="","",IFERROR($Q134/$G134,""))</f>
        <v/>
      </c>
      <c r="AC134" s="57" t="str">
        <f t="shared" ref="AC134:AC197" si="19">IF($B134="","",IFERROR($T134/$U134,""))</f>
        <v/>
      </c>
      <c r="AD134" s="59" t="str">
        <f t="shared" ref="AD134:AD197" si="20">IF($B134="","",IFERROR(IF(AND($N134&gt;0,$L134&gt;0),$P134*(($T134/$N134)-($S134/$L134)),0),0))</f>
        <v/>
      </c>
      <c r="AE134" s="54" t="str">
        <f>IF($B134="","",IF(NOT(ISNUMBER($AA134)),"Aguardando fechamento",IF($P134&gt;0,"ACAO: "&amp;TEXT($P134,"0")&amp;" carga(s) terceirizada(s) de forma evitavel",IF(IF(ISNUMBER($Z134),$Z134,0)&gt;IFERROR(INDEX(Parâmetros!$G$5:$G$10,MATCH($C134,Parâmetros!$B$5:$B$10,0)),""),"ALERTA: terceiros acima da meta",IF($AA134&gt;IFERROR(INDEX(Parâmetros!$D$5:$D$10,MATCH($C134,Parâmetros!$B$5:$B$10,0)),""),"ALERTA: custo/km acima da meta","OK - dentro das metas")))))</f>
        <v/>
      </c>
    </row>
    <row r="135" spans="2:31" ht="15" customHeight="1" x14ac:dyDescent="0.3">
      <c r="B135" s="48"/>
      <c r="C135" s="49"/>
      <c r="D135" s="50"/>
      <c r="E135" s="51"/>
      <c r="F135" s="52"/>
      <c r="G135" s="51"/>
      <c r="H135" s="51"/>
      <c r="I135" s="53" t="str">
        <f>IF($B135="","",IFERROR($G135*IFERROR(INDEX(Parâmetros!$C$5:$C$10,MATCH($C135,Parâmetros!$B$5:$B$10,0)),"")/Parâmetros!$C$13,""))</f>
        <v/>
      </c>
      <c r="J135" s="53" t="str">
        <f>IF($B135="","",IFERROR($E135*IFERROR(INDEX(Parâmetros!$E$5:$E$10,MATCH($C135,Parâmetros!$B$5:$B$10,0)),"")-$I135,""))</f>
        <v/>
      </c>
      <c r="K135" s="54" t="str">
        <f>IF($B135="","",IF(NOT(ISNUMBER($J135)),"",IF($J135&lt;=0,"OK - frota cobre a meta do dia",IF($J135&lt;=Parâmetros!$C$15,"ATENCAO - faltam "&amp;TEXT($J135,"0")&amp;" viagem(ns) de frota","CRITICO - faltam "&amp;TEXT($J135,"0")&amp;" viagens: acionar plano"))))</f>
        <v/>
      </c>
      <c r="L135" s="51"/>
      <c r="M135" s="51"/>
      <c r="N135" s="51"/>
      <c r="O135" s="50"/>
      <c r="P135" s="51"/>
      <c r="Q135" s="51"/>
      <c r="R135" s="55"/>
      <c r="S135" s="56"/>
      <c r="T135" s="56"/>
      <c r="U135" s="56"/>
      <c r="V135" s="19"/>
      <c r="W135" s="51"/>
      <c r="X135" s="57" t="str">
        <f t="shared" si="14"/>
        <v/>
      </c>
      <c r="Y135" s="57" t="str">
        <f t="shared" si="15"/>
        <v/>
      </c>
      <c r="Z135" s="57" t="str">
        <f t="shared" si="16"/>
        <v/>
      </c>
      <c r="AA135" s="58" t="str">
        <f t="shared" si="17"/>
        <v/>
      </c>
      <c r="AB135" s="58" t="str">
        <f t="shared" si="18"/>
        <v/>
      </c>
      <c r="AC135" s="57" t="str">
        <f t="shared" si="19"/>
        <v/>
      </c>
      <c r="AD135" s="59" t="str">
        <f t="shared" si="20"/>
        <v/>
      </c>
      <c r="AE135" s="54" t="str">
        <f>IF($B135="","",IF(NOT(ISNUMBER($AA135)),"Aguardando fechamento",IF($P135&gt;0,"ACAO: "&amp;TEXT($P135,"0")&amp;" carga(s) terceirizada(s) de forma evitavel",IF(IF(ISNUMBER($Z135),$Z135,0)&gt;IFERROR(INDEX(Parâmetros!$G$5:$G$10,MATCH($C135,Parâmetros!$B$5:$B$10,0)),""),"ALERTA: terceiros acima da meta",IF($AA135&gt;IFERROR(INDEX(Parâmetros!$D$5:$D$10,MATCH($C135,Parâmetros!$B$5:$B$10,0)),""),"ALERTA: custo/km acima da meta","OK - dentro das metas")))))</f>
        <v/>
      </c>
    </row>
    <row r="136" spans="2:31" ht="15" customHeight="1" x14ac:dyDescent="0.3">
      <c r="B136" s="48"/>
      <c r="C136" s="49"/>
      <c r="D136" s="50"/>
      <c r="E136" s="51"/>
      <c r="F136" s="52"/>
      <c r="G136" s="51"/>
      <c r="H136" s="51"/>
      <c r="I136" s="53" t="str">
        <f>IF($B136="","",IFERROR($G136*IFERROR(INDEX(Parâmetros!$C$5:$C$10,MATCH($C136,Parâmetros!$B$5:$B$10,0)),"")/Parâmetros!$C$13,""))</f>
        <v/>
      </c>
      <c r="J136" s="53" t="str">
        <f>IF($B136="","",IFERROR($E136*IFERROR(INDEX(Parâmetros!$E$5:$E$10,MATCH($C136,Parâmetros!$B$5:$B$10,0)),"")-$I136,""))</f>
        <v/>
      </c>
      <c r="K136" s="54" t="str">
        <f>IF($B136="","",IF(NOT(ISNUMBER($J136)),"",IF($J136&lt;=0,"OK - frota cobre a meta do dia",IF($J136&lt;=Parâmetros!$C$15,"ATENCAO - faltam "&amp;TEXT($J136,"0")&amp;" viagem(ns) de frota","CRITICO - faltam "&amp;TEXT($J136,"0")&amp;" viagens: acionar plano"))))</f>
        <v/>
      </c>
      <c r="L136" s="51"/>
      <c r="M136" s="51"/>
      <c r="N136" s="51"/>
      <c r="O136" s="50"/>
      <c r="P136" s="51"/>
      <c r="Q136" s="51"/>
      <c r="R136" s="55"/>
      <c r="S136" s="56"/>
      <c r="T136" s="56"/>
      <c r="U136" s="56"/>
      <c r="V136" s="19"/>
      <c r="W136" s="51"/>
      <c r="X136" s="57" t="str">
        <f t="shared" si="14"/>
        <v/>
      </c>
      <c r="Y136" s="57" t="str">
        <f t="shared" si="15"/>
        <v/>
      </c>
      <c r="Z136" s="57" t="str">
        <f t="shared" si="16"/>
        <v/>
      </c>
      <c r="AA136" s="58" t="str">
        <f t="shared" si="17"/>
        <v/>
      </c>
      <c r="AB136" s="58" t="str">
        <f t="shared" si="18"/>
        <v/>
      </c>
      <c r="AC136" s="57" t="str">
        <f t="shared" si="19"/>
        <v/>
      </c>
      <c r="AD136" s="59" t="str">
        <f t="shared" si="20"/>
        <v/>
      </c>
      <c r="AE136" s="54" t="str">
        <f>IF($B136="","",IF(NOT(ISNUMBER($AA136)),"Aguardando fechamento",IF($P136&gt;0,"ACAO: "&amp;TEXT($P136,"0")&amp;" carga(s) terceirizada(s) de forma evitavel",IF(IF(ISNUMBER($Z136),$Z136,0)&gt;IFERROR(INDEX(Parâmetros!$G$5:$G$10,MATCH($C136,Parâmetros!$B$5:$B$10,0)),""),"ALERTA: terceiros acima da meta",IF($AA136&gt;IFERROR(INDEX(Parâmetros!$D$5:$D$10,MATCH($C136,Parâmetros!$B$5:$B$10,0)),""),"ALERTA: custo/km acima da meta","OK - dentro das metas")))))</f>
        <v/>
      </c>
    </row>
    <row r="137" spans="2:31" ht="15" customHeight="1" x14ac:dyDescent="0.3">
      <c r="B137" s="48"/>
      <c r="C137" s="49"/>
      <c r="D137" s="50"/>
      <c r="E137" s="51"/>
      <c r="F137" s="52"/>
      <c r="G137" s="51"/>
      <c r="H137" s="51"/>
      <c r="I137" s="53" t="str">
        <f>IF($B137="","",IFERROR($G137*IFERROR(INDEX(Parâmetros!$C$5:$C$10,MATCH($C137,Parâmetros!$B$5:$B$10,0)),"")/Parâmetros!$C$13,""))</f>
        <v/>
      </c>
      <c r="J137" s="53" t="str">
        <f>IF($B137="","",IFERROR($E137*IFERROR(INDEX(Parâmetros!$E$5:$E$10,MATCH($C137,Parâmetros!$B$5:$B$10,0)),"")-$I137,""))</f>
        <v/>
      </c>
      <c r="K137" s="54" t="str">
        <f>IF($B137="","",IF(NOT(ISNUMBER($J137)),"",IF($J137&lt;=0,"OK - frota cobre a meta do dia",IF($J137&lt;=Parâmetros!$C$15,"ATENCAO - faltam "&amp;TEXT($J137,"0")&amp;" viagem(ns) de frota","CRITICO - faltam "&amp;TEXT($J137,"0")&amp;" viagens: acionar plano"))))</f>
        <v/>
      </c>
      <c r="L137" s="51"/>
      <c r="M137" s="51"/>
      <c r="N137" s="51"/>
      <c r="O137" s="50"/>
      <c r="P137" s="51"/>
      <c r="Q137" s="51"/>
      <c r="R137" s="55"/>
      <c r="S137" s="56"/>
      <c r="T137" s="56"/>
      <c r="U137" s="56"/>
      <c r="V137" s="19"/>
      <c r="W137" s="51"/>
      <c r="X137" s="57" t="str">
        <f t="shared" si="14"/>
        <v/>
      </c>
      <c r="Y137" s="57" t="str">
        <f t="shared" si="15"/>
        <v/>
      </c>
      <c r="Z137" s="57" t="str">
        <f t="shared" si="16"/>
        <v/>
      </c>
      <c r="AA137" s="58" t="str">
        <f t="shared" si="17"/>
        <v/>
      </c>
      <c r="AB137" s="58" t="str">
        <f t="shared" si="18"/>
        <v/>
      </c>
      <c r="AC137" s="57" t="str">
        <f t="shared" si="19"/>
        <v/>
      </c>
      <c r="AD137" s="59" t="str">
        <f t="shared" si="20"/>
        <v/>
      </c>
      <c r="AE137" s="54" t="str">
        <f>IF($B137="","",IF(NOT(ISNUMBER($AA137)),"Aguardando fechamento",IF($P137&gt;0,"ACAO: "&amp;TEXT($P137,"0")&amp;" carga(s) terceirizada(s) de forma evitavel",IF(IF(ISNUMBER($Z137),$Z137,0)&gt;IFERROR(INDEX(Parâmetros!$G$5:$G$10,MATCH($C137,Parâmetros!$B$5:$B$10,0)),""),"ALERTA: terceiros acima da meta",IF($AA137&gt;IFERROR(INDEX(Parâmetros!$D$5:$D$10,MATCH($C137,Parâmetros!$B$5:$B$10,0)),""),"ALERTA: custo/km acima da meta","OK - dentro das metas")))))</f>
        <v/>
      </c>
    </row>
    <row r="138" spans="2:31" ht="15" customHeight="1" x14ac:dyDescent="0.3">
      <c r="B138" s="48"/>
      <c r="C138" s="49"/>
      <c r="D138" s="50"/>
      <c r="E138" s="51"/>
      <c r="F138" s="52"/>
      <c r="G138" s="51"/>
      <c r="H138" s="51"/>
      <c r="I138" s="53" t="str">
        <f>IF($B138="","",IFERROR($G138*IFERROR(INDEX(Parâmetros!$C$5:$C$10,MATCH($C138,Parâmetros!$B$5:$B$10,0)),"")/Parâmetros!$C$13,""))</f>
        <v/>
      </c>
      <c r="J138" s="53" t="str">
        <f>IF($B138="","",IFERROR($E138*IFERROR(INDEX(Parâmetros!$E$5:$E$10,MATCH($C138,Parâmetros!$B$5:$B$10,0)),"")-$I138,""))</f>
        <v/>
      </c>
      <c r="K138" s="54" t="str">
        <f>IF($B138="","",IF(NOT(ISNUMBER($J138)),"",IF($J138&lt;=0,"OK - frota cobre a meta do dia",IF($J138&lt;=Parâmetros!$C$15,"ATENCAO - faltam "&amp;TEXT($J138,"0")&amp;" viagem(ns) de frota","CRITICO - faltam "&amp;TEXT($J138,"0")&amp;" viagens: acionar plano"))))</f>
        <v/>
      </c>
      <c r="L138" s="51"/>
      <c r="M138" s="51"/>
      <c r="N138" s="51"/>
      <c r="O138" s="50"/>
      <c r="P138" s="51"/>
      <c r="Q138" s="51"/>
      <c r="R138" s="55"/>
      <c r="S138" s="56"/>
      <c r="T138" s="56"/>
      <c r="U138" s="56"/>
      <c r="V138" s="19"/>
      <c r="W138" s="51"/>
      <c r="X138" s="57" t="str">
        <f t="shared" si="14"/>
        <v/>
      </c>
      <c r="Y138" s="57" t="str">
        <f t="shared" si="15"/>
        <v/>
      </c>
      <c r="Z138" s="57" t="str">
        <f t="shared" si="16"/>
        <v/>
      </c>
      <c r="AA138" s="58" t="str">
        <f t="shared" si="17"/>
        <v/>
      </c>
      <c r="AB138" s="58" t="str">
        <f t="shared" si="18"/>
        <v/>
      </c>
      <c r="AC138" s="57" t="str">
        <f t="shared" si="19"/>
        <v/>
      </c>
      <c r="AD138" s="59" t="str">
        <f t="shared" si="20"/>
        <v/>
      </c>
      <c r="AE138" s="54" t="str">
        <f>IF($B138="","",IF(NOT(ISNUMBER($AA138)),"Aguardando fechamento",IF($P138&gt;0,"ACAO: "&amp;TEXT($P138,"0")&amp;" carga(s) terceirizada(s) de forma evitavel",IF(IF(ISNUMBER($Z138),$Z138,0)&gt;IFERROR(INDEX(Parâmetros!$G$5:$G$10,MATCH($C138,Parâmetros!$B$5:$B$10,0)),""),"ALERTA: terceiros acima da meta",IF($AA138&gt;IFERROR(INDEX(Parâmetros!$D$5:$D$10,MATCH($C138,Parâmetros!$B$5:$B$10,0)),""),"ALERTA: custo/km acima da meta","OK - dentro das metas")))))</f>
        <v/>
      </c>
    </row>
    <row r="139" spans="2:31" ht="15" customHeight="1" x14ac:dyDescent="0.3">
      <c r="B139" s="48"/>
      <c r="C139" s="49"/>
      <c r="D139" s="50"/>
      <c r="E139" s="51"/>
      <c r="F139" s="52"/>
      <c r="G139" s="51"/>
      <c r="H139" s="51"/>
      <c r="I139" s="53" t="str">
        <f>IF($B139="","",IFERROR($G139*IFERROR(INDEX(Parâmetros!$C$5:$C$10,MATCH($C139,Parâmetros!$B$5:$B$10,0)),"")/Parâmetros!$C$13,""))</f>
        <v/>
      </c>
      <c r="J139" s="53" t="str">
        <f>IF($B139="","",IFERROR($E139*IFERROR(INDEX(Parâmetros!$E$5:$E$10,MATCH($C139,Parâmetros!$B$5:$B$10,0)),"")-$I139,""))</f>
        <v/>
      </c>
      <c r="K139" s="54" t="str">
        <f>IF($B139="","",IF(NOT(ISNUMBER($J139)),"",IF($J139&lt;=0,"OK - frota cobre a meta do dia",IF($J139&lt;=Parâmetros!$C$15,"ATENCAO - faltam "&amp;TEXT($J139,"0")&amp;" viagem(ns) de frota","CRITICO - faltam "&amp;TEXT($J139,"0")&amp;" viagens: acionar plano"))))</f>
        <v/>
      </c>
      <c r="L139" s="51"/>
      <c r="M139" s="51"/>
      <c r="N139" s="51"/>
      <c r="O139" s="50"/>
      <c r="P139" s="51"/>
      <c r="Q139" s="51"/>
      <c r="R139" s="55"/>
      <c r="S139" s="56"/>
      <c r="T139" s="56"/>
      <c r="U139" s="56"/>
      <c r="V139" s="19"/>
      <c r="W139" s="51"/>
      <c r="X139" s="57" t="str">
        <f t="shared" si="14"/>
        <v/>
      </c>
      <c r="Y139" s="57" t="str">
        <f t="shared" si="15"/>
        <v/>
      </c>
      <c r="Z139" s="57" t="str">
        <f t="shared" si="16"/>
        <v/>
      </c>
      <c r="AA139" s="58" t="str">
        <f t="shared" si="17"/>
        <v/>
      </c>
      <c r="AB139" s="58" t="str">
        <f t="shared" si="18"/>
        <v/>
      </c>
      <c r="AC139" s="57" t="str">
        <f t="shared" si="19"/>
        <v/>
      </c>
      <c r="AD139" s="59" t="str">
        <f t="shared" si="20"/>
        <v/>
      </c>
      <c r="AE139" s="54" t="str">
        <f>IF($B139="","",IF(NOT(ISNUMBER($AA139)),"Aguardando fechamento",IF($P139&gt;0,"ACAO: "&amp;TEXT($P139,"0")&amp;" carga(s) terceirizada(s) de forma evitavel",IF(IF(ISNUMBER($Z139),$Z139,0)&gt;IFERROR(INDEX(Parâmetros!$G$5:$G$10,MATCH($C139,Parâmetros!$B$5:$B$10,0)),""),"ALERTA: terceiros acima da meta",IF($AA139&gt;IFERROR(INDEX(Parâmetros!$D$5:$D$10,MATCH($C139,Parâmetros!$B$5:$B$10,0)),""),"ALERTA: custo/km acima da meta","OK - dentro das metas")))))</f>
        <v/>
      </c>
    </row>
    <row r="140" spans="2:31" ht="15" customHeight="1" x14ac:dyDescent="0.3">
      <c r="B140" s="48"/>
      <c r="C140" s="49"/>
      <c r="D140" s="50"/>
      <c r="E140" s="51"/>
      <c r="F140" s="52"/>
      <c r="G140" s="51"/>
      <c r="H140" s="51"/>
      <c r="I140" s="53" t="str">
        <f>IF($B140="","",IFERROR($G140*IFERROR(INDEX(Parâmetros!$C$5:$C$10,MATCH($C140,Parâmetros!$B$5:$B$10,0)),"")/Parâmetros!$C$13,""))</f>
        <v/>
      </c>
      <c r="J140" s="53" t="str">
        <f>IF($B140="","",IFERROR($E140*IFERROR(INDEX(Parâmetros!$E$5:$E$10,MATCH($C140,Parâmetros!$B$5:$B$10,0)),"")-$I140,""))</f>
        <v/>
      </c>
      <c r="K140" s="54" t="str">
        <f>IF($B140="","",IF(NOT(ISNUMBER($J140)),"",IF($J140&lt;=0,"OK - frota cobre a meta do dia",IF($J140&lt;=Parâmetros!$C$15,"ATENCAO - faltam "&amp;TEXT($J140,"0")&amp;" viagem(ns) de frota","CRITICO - faltam "&amp;TEXT($J140,"0")&amp;" viagens: acionar plano"))))</f>
        <v/>
      </c>
      <c r="L140" s="51"/>
      <c r="M140" s="51"/>
      <c r="N140" s="51"/>
      <c r="O140" s="50"/>
      <c r="P140" s="51"/>
      <c r="Q140" s="51"/>
      <c r="R140" s="55"/>
      <c r="S140" s="56"/>
      <c r="T140" s="56"/>
      <c r="U140" s="56"/>
      <c r="V140" s="19"/>
      <c r="W140" s="51"/>
      <c r="X140" s="57" t="str">
        <f t="shared" si="14"/>
        <v/>
      </c>
      <c r="Y140" s="57" t="str">
        <f t="shared" si="15"/>
        <v/>
      </c>
      <c r="Z140" s="57" t="str">
        <f t="shared" si="16"/>
        <v/>
      </c>
      <c r="AA140" s="58" t="str">
        <f t="shared" si="17"/>
        <v/>
      </c>
      <c r="AB140" s="58" t="str">
        <f t="shared" si="18"/>
        <v/>
      </c>
      <c r="AC140" s="57" t="str">
        <f t="shared" si="19"/>
        <v/>
      </c>
      <c r="AD140" s="59" t="str">
        <f t="shared" si="20"/>
        <v/>
      </c>
      <c r="AE140" s="54" t="str">
        <f>IF($B140="","",IF(NOT(ISNUMBER($AA140)),"Aguardando fechamento",IF($P140&gt;0,"ACAO: "&amp;TEXT($P140,"0")&amp;" carga(s) terceirizada(s) de forma evitavel",IF(IF(ISNUMBER($Z140),$Z140,0)&gt;IFERROR(INDEX(Parâmetros!$G$5:$G$10,MATCH($C140,Parâmetros!$B$5:$B$10,0)),""),"ALERTA: terceiros acima da meta",IF($AA140&gt;IFERROR(INDEX(Parâmetros!$D$5:$D$10,MATCH($C140,Parâmetros!$B$5:$B$10,0)),""),"ALERTA: custo/km acima da meta","OK - dentro das metas")))))</f>
        <v/>
      </c>
    </row>
    <row r="141" spans="2:31" ht="15" customHeight="1" x14ac:dyDescent="0.3">
      <c r="B141" s="48"/>
      <c r="C141" s="49"/>
      <c r="D141" s="50"/>
      <c r="E141" s="51"/>
      <c r="F141" s="52"/>
      <c r="G141" s="51"/>
      <c r="H141" s="51"/>
      <c r="I141" s="53" t="str">
        <f>IF($B141="","",IFERROR($G141*IFERROR(INDEX(Parâmetros!$C$5:$C$10,MATCH($C141,Parâmetros!$B$5:$B$10,0)),"")/Parâmetros!$C$13,""))</f>
        <v/>
      </c>
      <c r="J141" s="53" t="str">
        <f>IF($B141="","",IFERROR($E141*IFERROR(INDEX(Parâmetros!$E$5:$E$10,MATCH($C141,Parâmetros!$B$5:$B$10,0)),"")-$I141,""))</f>
        <v/>
      </c>
      <c r="K141" s="54" t="str">
        <f>IF($B141="","",IF(NOT(ISNUMBER($J141)),"",IF($J141&lt;=0,"OK - frota cobre a meta do dia",IF($J141&lt;=Parâmetros!$C$15,"ATENCAO - faltam "&amp;TEXT($J141,"0")&amp;" viagem(ns) de frota","CRITICO - faltam "&amp;TEXT($J141,"0")&amp;" viagens: acionar plano"))))</f>
        <v/>
      </c>
      <c r="L141" s="51"/>
      <c r="M141" s="51"/>
      <c r="N141" s="51"/>
      <c r="O141" s="50"/>
      <c r="P141" s="51"/>
      <c r="Q141" s="51"/>
      <c r="R141" s="55"/>
      <c r="S141" s="56"/>
      <c r="T141" s="56"/>
      <c r="U141" s="56"/>
      <c r="V141" s="19"/>
      <c r="W141" s="51"/>
      <c r="X141" s="57" t="str">
        <f t="shared" si="14"/>
        <v/>
      </c>
      <c r="Y141" s="57" t="str">
        <f t="shared" si="15"/>
        <v/>
      </c>
      <c r="Z141" s="57" t="str">
        <f t="shared" si="16"/>
        <v/>
      </c>
      <c r="AA141" s="58" t="str">
        <f t="shared" si="17"/>
        <v/>
      </c>
      <c r="AB141" s="58" t="str">
        <f t="shared" si="18"/>
        <v/>
      </c>
      <c r="AC141" s="57" t="str">
        <f t="shared" si="19"/>
        <v/>
      </c>
      <c r="AD141" s="59" t="str">
        <f t="shared" si="20"/>
        <v/>
      </c>
      <c r="AE141" s="54" t="str">
        <f>IF($B141="","",IF(NOT(ISNUMBER($AA141)),"Aguardando fechamento",IF($P141&gt;0,"ACAO: "&amp;TEXT($P141,"0")&amp;" carga(s) terceirizada(s) de forma evitavel",IF(IF(ISNUMBER($Z141),$Z141,0)&gt;IFERROR(INDEX(Parâmetros!$G$5:$G$10,MATCH($C141,Parâmetros!$B$5:$B$10,0)),""),"ALERTA: terceiros acima da meta",IF($AA141&gt;IFERROR(INDEX(Parâmetros!$D$5:$D$10,MATCH($C141,Parâmetros!$B$5:$B$10,0)),""),"ALERTA: custo/km acima da meta","OK - dentro das metas")))))</f>
        <v/>
      </c>
    </row>
    <row r="142" spans="2:31" ht="15" customHeight="1" x14ac:dyDescent="0.3">
      <c r="B142" s="48"/>
      <c r="C142" s="49"/>
      <c r="D142" s="50"/>
      <c r="E142" s="51"/>
      <c r="F142" s="52"/>
      <c r="G142" s="51"/>
      <c r="H142" s="51"/>
      <c r="I142" s="53" t="str">
        <f>IF($B142="","",IFERROR($G142*IFERROR(INDEX(Parâmetros!$C$5:$C$10,MATCH($C142,Parâmetros!$B$5:$B$10,0)),"")/Parâmetros!$C$13,""))</f>
        <v/>
      </c>
      <c r="J142" s="53" t="str">
        <f>IF($B142="","",IFERROR($E142*IFERROR(INDEX(Parâmetros!$E$5:$E$10,MATCH($C142,Parâmetros!$B$5:$B$10,0)),"")-$I142,""))</f>
        <v/>
      </c>
      <c r="K142" s="54" t="str">
        <f>IF($B142="","",IF(NOT(ISNUMBER($J142)),"",IF($J142&lt;=0,"OK - frota cobre a meta do dia",IF($J142&lt;=Parâmetros!$C$15,"ATENCAO - faltam "&amp;TEXT($J142,"0")&amp;" viagem(ns) de frota","CRITICO - faltam "&amp;TEXT($J142,"0")&amp;" viagens: acionar plano"))))</f>
        <v/>
      </c>
      <c r="L142" s="51"/>
      <c r="M142" s="51"/>
      <c r="N142" s="51"/>
      <c r="O142" s="50"/>
      <c r="P142" s="51"/>
      <c r="Q142" s="51"/>
      <c r="R142" s="55"/>
      <c r="S142" s="56"/>
      <c r="T142" s="56"/>
      <c r="U142" s="56"/>
      <c r="V142" s="19"/>
      <c r="W142" s="51"/>
      <c r="X142" s="57" t="str">
        <f t="shared" si="14"/>
        <v/>
      </c>
      <c r="Y142" s="57" t="str">
        <f t="shared" si="15"/>
        <v/>
      </c>
      <c r="Z142" s="57" t="str">
        <f t="shared" si="16"/>
        <v/>
      </c>
      <c r="AA142" s="58" t="str">
        <f t="shared" si="17"/>
        <v/>
      </c>
      <c r="AB142" s="58" t="str">
        <f t="shared" si="18"/>
        <v/>
      </c>
      <c r="AC142" s="57" t="str">
        <f t="shared" si="19"/>
        <v/>
      </c>
      <c r="AD142" s="59" t="str">
        <f t="shared" si="20"/>
        <v/>
      </c>
      <c r="AE142" s="54" t="str">
        <f>IF($B142="","",IF(NOT(ISNUMBER($AA142)),"Aguardando fechamento",IF($P142&gt;0,"ACAO: "&amp;TEXT($P142,"0")&amp;" carga(s) terceirizada(s) de forma evitavel",IF(IF(ISNUMBER($Z142),$Z142,0)&gt;IFERROR(INDEX(Parâmetros!$G$5:$G$10,MATCH($C142,Parâmetros!$B$5:$B$10,0)),""),"ALERTA: terceiros acima da meta",IF($AA142&gt;IFERROR(INDEX(Parâmetros!$D$5:$D$10,MATCH($C142,Parâmetros!$B$5:$B$10,0)),""),"ALERTA: custo/km acima da meta","OK - dentro das metas")))))</f>
        <v/>
      </c>
    </row>
    <row r="143" spans="2:31" ht="15" customHeight="1" x14ac:dyDescent="0.3">
      <c r="B143" s="48"/>
      <c r="C143" s="49"/>
      <c r="D143" s="50"/>
      <c r="E143" s="51"/>
      <c r="F143" s="52"/>
      <c r="G143" s="51"/>
      <c r="H143" s="51"/>
      <c r="I143" s="53" t="str">
        <f>IF($B143="","",IFERROR($G143*IFERROR(INDEX(Parâmetros!$C$5:$C$10,MATCH($C143,Parâmetros!$B$5:$B$10,0)),"")/Parâmetros!$C$13,""))</f>
        <v/>
      </c>
      <c r="J143" s="53" t="str">
        <f>IF($B143="","",IFERROR($E143*IFERROR(INDEX(Parâmetros!$E$5:$E$10,MATCH($C143,Parâmetros!$B$5:$B$10,0)),"")-$I143,""))</f>
        <v/>
      </c>
      <c r="K143" s="54" t="str">
        <f>IF($B143="","",IF(NOT(ISNUMBER($J143)),"",IF($J143&lt;=0,"OK - frota cobre a meta do dia",IF($J143&lt;=Parâmetros!$C$15,"ATENCAO - faltam "&amp;TEXT($J143,"0")&amp;" viagem(ns) de frota","CRITICO - faltam "&amp;TEXT($J143,"0")&amp;" viagens: acionar plano"))))</f>
        <v/>
      </c>
      <c r="L143" s="51"/>
      <c r="M143" s="51"/>
      <c r="N143" s="51"/>
      <c r="O143" s="50"/>
      <c r="P143" s="51"/>
      <c r="Q143" s="51"/>
      <c r="R143" s="55"/>
      <c r="S143" s="56"/>
      <c r="T143" s="56"/>
      <c r="U143" s="56"/>
      <c r="V143" s="19"/>
      <c r="W143" s="51"/>
      <c r="X143" s="57" t="str">
        <f t="shared" si="14"/>
        <v/>
      </c>
      <c r="Y143" s="57" t="str">
        <f t="shared" si="15"/>
        <v/>
      </c>
      <c r="Z143" s="57" t="str">
        <f t="shared" si="16"/>
        <v/>
      </c>
      <c r="AA143" s="58" t="str">
        <f t="shared" si="17"/>
        <v/>
      </c>
      <c r="AB143" s="58" t="str">
        <f t="shared" si="18"/>
        <v/>
      </c>
      <c r="AC143" s="57" t="str">
        <f t="shared" si="19"/>
        <v/>
      </c>
      <c r="AD143" s="59" t="str">
        <f t="shared" si="20"/>
        <v/>
      </c>
      <c r="AE143" s="54" t="str">
        <f>IF($B143="","",IF(NOT(ISNUMBER($AA143)),"Aguardando fechamento",IF($P143&gt;0,"ACAO: "&amp;TEXT($P143,"0")&amp;" carga(s) terceirizada(s) de forma evitavel",IF(IF(ISNUMBER($Z143),$Z143,0)&gt;IFERROR(INDEX(Parâmetros!$G$5:$G$10,MATCH($C143,Parâmetros!$B$5:$B$10,0)),""),"ALERTA: terceiros acima da meta",IF($AA143&gt;IFERROR(INDEX(Parâmetros!$D$5:$D$10,MATCH($C143,Parâmetros!$B$5:$B$10,0)),""),"ALERTA: custo/km acima da meta","OK - dentro das metas")))))</f>
        <v/>
      </c>
    </row>
    <row r="144" spans="2:31" ht="15" customHeight="1" x14ac:dyDescent="0.3">
      <c r="B144" s="48"/>
      <c r="C144" s="49"/>
      <c r="D144" s="50"/>
      <c r="E144" s="51"/>
      <c r="F144" s="52"/>
      <c r="G144" s="51"/>
      <c r="H144" s="51"/>
      <c r="I144" s="53" t="str">
        <f>IF($B144="","",IFERROR($G144*IFERROR(INDEX(Parâmetros!$C$5:$C$10,MATCH($C144,Parâmetros!$B$5:$B$10,0)),"")/Parâmetros!$C$13,""))</f>
        <v/>
      </c>
      <c r="J144" s="53" t="str">
        <f>IF($B144="","",IFERROR($E144*IFERROR(INDEX(Parâmetros!$E$5:$E$10,MATCH($C144,Parâmetros!$B$5:$B$10,0)),"")-$I144,""))</f>
        <v/>
      </c>
      <c r="K144" s="54" t="str">
        <f>IF($B144="","",IF(NOT(ISNUMBER($J144)),"",IF($J144&lt;=0,"OK - frota cobre a meta do dia",IF($J144&lt;=Parâmetros!$C$15,"ATENCAO - faltam "&amp;TEXT($J144,"0")&amp;" viagem(ns) de frota","CRITICO - faltam "&amp;TEXT($J144,"0")&amp;" viagens: acionar plano"))))</f>
        <v/>
      </c>
      <c r="L144" s="51"/>
      <c r="M144" s="51"/>
      <c r="N144" s="51"/>
      <c r="O144" s="50"/>
      <c r="P144" s="51"/>
      <c r="Q144" s="51"/>
      <c r="R144" s="55"/>
      <c r="S144" s="56"/>
      <c r="T144" s="56"/>
      <c r="U144" s="56"/>
      <c r="V144" s="19"/>
      <c r="W144" s="51"/>
      <c r="X144" s="57" t="str">
        <f t="shared" si="14"/>
        <v/>
      </c>
      <c r="Y144" s="57" t="str">
        <f t="shared" si="15"/>
        <v/>
      </c>
      <c r="Z144" s="57" t="str">
        <f t="shared" si="16"/>
        <v/>
      </c>
      <c r="AA144" s="58" t="str">
        <f t="shared" si="17"/>
        <v/>
      </c>
      <c r="AB144" s="58" t="str">
        <f t="shared" si="18"/>
        <v/>
      </c>
      <c r="AC144" s="57" t="str">
        <f t="shared" si="19"/>
        <v/>
      </c>
      <c r="AD144" s="59" t="str">
        <f t="shared" si="20"/>
        <v/>
      </c>
      <c r="AE144" s="54" t="str">
        <f>IF($B144="","",IF(NOT(ISNUMBER($AA144)),"Aguardando fechamento",IF($P144&gt;0,"ACAO: "&amp;TEXT($P144,"0")&amp;" carga(s) terceirizada(s) de forma evitavel",IF(IF(ISNUMBER($Z144),$Z144,0)&gt;IFERROR(INDEX(Parâmetros!$G$5:$G$10,MATCH($C144,Parâmetros!$B$5:$B$10,0)),""),"ALERTA: terceiros acima da meta",IF($AA144&gt;IFERROR(INDEX(Parâmetros!$D$5:$D$10,MATCH($C144,Parâmetros!$B$5:$B$10,0)),""),"ALERTA: custo/km acima da meta","OK - dentro das metas")))))</f>
        <v/>
      </c>
    </row>
    <row r="145" spans="2:31" ht="15" customHeight="1" x14ac:dyDescent="0.3">
      <c r="B145" s="48"/>
      <c r="C145" s="49"/>
      <c r="D145" s="50"/>
      <c r="E145" s="51"/>
      <c r="F145" s="52"/>
      <c r="G145" s="51"/>
      <c r="H145" s="51"/>
      <c r="I145" s="53" t="str">
        <f>IF($B145="","",IFERROR($G145*IFERROR(INDEX(Parâmetros!$C$5:$C$10,MATCH($C145,Parâmetros!$B$5:$B$10,0)),"")/Parâmetros!$C$13,""))</f>
        <v/>
      </c>
      <c r="J145" s="53" t="str">
        <f>IF($B145="","",IFERROR($E145*IFERROR(INDEX(Parâmetros!$E$5:$E$10,MATCH($C145,Parâmetros!$B$5:$B$10,0)),"")-$I145,""))</f>
        <v/>
      </c>
      <c r="K145" s="54" t="str">
        <f>IF($B145="","",IF(NOT(ISNUMBER($J145)),"",IF($J145&lt;=0,"OK - frota cobre a meta do dia",IF($J145&lt;=Parâmetros!$C$15,"ATENCAO - faltam "&amp;TEXT($J145,"0")&amp;" viagem(ns) de frota","CRITICO - faltam "&amp;TEXT($J145,"0")&amp;" viagens: acionar plano"))))</f>
        <v/>
      </c>
      <c r="L145" s="51"/>
      <c r="M145" s="51"/>
      <c r="N145" s="51"/>
      <c r="O145" s="50"/>
      <c r="P145" s="51"/>
      <c r="Q145" s="51"/>
      <c r="R145" s="55"/>
      <c r="S145" s="56"/>
      <c r="T145" s="56"/>
      <c r="U145" s="56"/>
      <c r="V145" s="19"/>
      <c r="W145" s="51"/>
      <c r="X145" s="57" t="str">
        <f t="shared" si="14"/>
        <v/>
      </c>
      <c r="Y145" s="57" t="str">
        <f t="shared" si="15"/>
        <v/>
      </c>
      <c r="Z145" s="57" t="str">
        <f t="shared" si="16"/>
        <v/>
      </c>
      <c r="AA145" s="58" t="str">
        <f t="shared" si="17"/>
        <v/>
      </c>
      <c r="AB145" s="58" t="str">
        <f t="shared" si="18"/>
        <v/>
      </c>
      <c r="AC145" s="57" t="str">
        <f t="shared" si="19"/>
        <v/>
      </c>
      <c r="AD145" s="59" t="str">
        <f t="shared" si="20"/>
        <v/>
      </c>
      <c r="AE145" s="54" t="str">
        <f>IF($B145="","",IF(NOT(ISNUMBER($AA145)),"Aguardando fechamento",IF($P145&gt;0,"ACAO: "&amp;TEXT($P145,"0")&amp;" carga(s) terceirizada(s) de forma evitavel",IF(IF(ISNUMBER($Z145),$Z145,0)&gt;IFERROR(INDEX(Parâmetros!$G$5:$G$10,MATCH($C145,Parâmetros!$B$5:$B$10,0)),""),"ALERTA: terceiros acima da meta",IF($AA145&gt;IFERROR(INDEX(Parâmetros!$D$5:$D$10,MATCH($C145,Parâmetros!$B$5:$B$10,0)),""),"ALERTA: custo/km acima da meta","OK - dentro das metas")))))</f>
        <v/>
      </c>
    </row>
    <row r="146" spans="2:31" ht="15" customHeight="1" x14ac:dyDescent="0.3">
      <c r="B146" s="48"/>
      <c r="C146" s="49"/>
      <c r="D146" s="50"/>
      <c r="E146" s="51"/>
      <c r="F146" s="52"/>
      <c r="G146" s="51"/>
      <c r="H146" s="51"/>
      <c r="I146" s="53" t="str">
        <f>IF($B146="","",IFERROR($G146*IFERROR(INDEX(Parâmetros!$C$5:$C$10,MATCH($C146,Parâmetros!$B$5:$B$10,0)),"")/Parâmetros!$C$13,""))</f>
        <v/>
      </c>
      <c r="J146" s="53" t="str">
        <f>IF($B146="","",IFERROR($E146*IFERROR(INDEX(Parâmetros!$E$5:$E$10,MATCH($C146,Parâmetros!$B$5:$B$10,0)),"")-$I146,""))</f>
        <v/>
      </c>
      <c r="K146" s="54" t="str">
        <f>IF($B146="","",IF(NOT(ISNUMBER($J146)),"",IF($J146&lt;=0,"OK - frota cobre a meta do dia",IF($J146&lt;=Parâmetros!$C$15,"ATENCAO - faltam "&amp;TEXT($J146,"0")&amp;" viagem(ns) de frota","CRITICO - faltam "&amp;TEXT($J146,"0")&amp;" viagens: acionar plano"))))</f>
        <v/>
      </c>
      <c r="L146" s="51"/>
      <c r="M146" s="51"/>
      <c r="N146" s="51"/>
      <c r="O146" s="50"/>
      <c r="P146" s="51"/>
      <c r="Q146" s="51"/>
      <c r="R146" s="55"/>
      <c r="S146" s="56"/>
      <c r="T146" s="56"/>
      <c r="U146" s="56"/>
      <c r="V146" s="19"/>
      <c r="W146" s="51"/>
      <c r="X146" s="57" t="str">
        <f t="shared" si="14"/>
        <v/>
      </c>
      <c r="Y146" s="57" t="str">
        <f t="shared" si="15"/>
        <v/>
      </c>
      <c r="Z146" s="57" t="str">
        <f t="shared" si="16"/>
        <v/>
      </c>
      <c r="AA146" s="58" t="str">
        <f t="shared" si="17"/>
        <v/>
      </c>
      <c r="AB146" s="58" t="str">
        <f t="shared" si="18"/>
        <v/>
      </c>
      <c r="AC146" s="57" t="str">
        <f t="shared" si="19"/>
        <v/>
      </c>
      <c r="AD146" s="59" t="str">
        <f t="shared" si="20"/>
        <v/>
      </c>
      <c r="AE146" s="54" t="str">
        <f>IF($B146="","",IF(NOT(ISNUMBER($AA146)),"Aguardando fechamento",IF($P146&gt;0,"ACAO: "&amp;TEXT($P146,"0")&amp;" carga(s) terceirizada(s) de forma evitavel",IF(IF(ISNUMBER($Z146),$Z146,0)&gt;IFERROR(INDEX(Parâmetros!$G$5:$G$10,MATCH($C146,Parâmetros!$B$5:$B$10,0)),""),"ALERTA: terceiros acima da meta",IF($AA146&gt;IFERROR(INDEX(Parâmetros!$D$5:$D$10,MATCH($C146,Parâmetros!$B$5:$B$10,0)),""),"ALERTA: custo/km acima da meta","OK - dentro das metas")))))</f>
        <v/>
      </c>
    </row>
    <row r="147" spans="2:31" ht="15" customHeight="1" x14ac:dyDescent="0.3">
      <c r="B147" s="48"/>
      <c r="C147" s="49"/>
      <c r="D147" s="50"/>
      <c r="E147" s="51"/>
      <c r="F147" s="52"/>
      <c r="G147" s="51"/>
      <c r="H147" s="51"/>
      <c r="I147" s="53" t="str">
        <f>IF($B147="","",IFERROR($G147*IFERROR(INDEX(Parâmetros!$C$5:$C$10,MATCH($C147,Parâmetros!$B$5:$B$10,0)),"")/Parâmetros!$C$13,""))</f>
        <v/>
      </c>
      <c r="J147" s="53" t="str">
        <f>IF($B147="","",IFERROR($E147*IFERROR(INDEX(Parâmetros!$E$5:$E$10,MATCH($C147,Parâmetros!$B$5:$B$10,0)),"")-$I147,""))</f>
        <v/>
      </c>
      <c r="K147" s="54" t="str">
        <f>IF($B147="","",IF(NOT(ISNUMBER($J147)),"",IF($J147&lt;=0,"OK - frota cobre a meta do dia",IF($J147&lt;=Parâmetros!$C$15,"ATENCAO - faltam "&amp;TEXT($J147,"0")&amp;" viagem(ns) de frota","CRITICO - faltam "&amp;TEXT($J147,"0")&amp;" viagens: acionar plano"))))</f>
        <v/>
      </c>
      <c r="L147" s="51"/>
      <c r="M147" s="51"/>
      <c r="N147" s="51"/>
      <c r="O147" s="50"/>
      <c r="P147" s="51"/>
      <c r="Q147" s="51"/>
      <c r="R147" s="55"/>
      <c r="S147" s="56"/>
      <c r="T147" s="56"/>
      <c r="U147" s="56"/>
      <c r="V147" s="19"/>
      <c r="W147" s="51"/>
      <c r="X147" s="57" t="str">
        <f t="shared" si="14"/>
        <v/>
      </c>
      <c r="Y147" s="57" t="str">
        <f t="shared" si="15"/>
        <v/>
      </c>
      <c r="Z147" s="57" t="str">
        <f t="shared" si="16"/>
        <v/>
      </c>
      <c r="AA147" s="58" t="str">
        <f t="shared" si="17"/>
        <v/>
      </c>
      <c r="AB147" s="58" t="str">
        <f t="shared" si="18"/>
        <v/>
      </c>
      <c r="AC147" s="57" t="str">
        <f t="shared" si="19"/>
        <v/>
      </c>
      <c r="AD147" s="59" t="str">
        <f t="shared" si="20"/>
        <v/>
      </c>
      <c r="AE147" s="54" t="str">
        <f>IF($B147="","",IF(NOT(ISNUMBER($AA147)),"Aguardando fechamento",IF($P147&gt;0,"ACAO: "&amp;TEXT($P147,"0")&amp;" carga(s) terceirizada(s) de forma evitavel",IF(IF(ISNUMBER($Z147),$Z147,0)&gt;IFERROR(INDEX(Parâmetros!$G$5:$G$10,MATCH($C147,Parâmetros!$B$5:$B$10,0)),""),"ALERTA: terceiros acima da meta",IF($AA147&gt;IFERROR(INDEX(Parâmetros!$D$5:$D$10,MATCH($C147,Parâmetros!$B$5:$B$10,0)),""),"ALERTA: custo/km acima da meta","OK - dentro das metas")))))</f>
        <v/>
      </c>
    </row>
    <row r="148" spans="2:31" ht="15" customHeight="1" x14ac:dyDescent="0.3">
      <c r="B148" s="48"/>
      <c r="C148" s="49"/>
      <c r="D148" s="50"/>
      <c r="E148" s="51"/>
      <c r="F148" s="52"/>
      <c r="G148" s="51"/>
      <c r="H148" s="51"/>
      <c r="I148" s="53" t="str">
        <f>IF($B148="","",IFERROR($G148*IFERROR(INDEX(Parâmetros!$C$5:$C$10,MATCH($C148,Parâmetros!$B$5:$B$10,0)),"")/Parâmetros!$C$13,""))</f>
        <v/>
      </c>
      <c r="J148" s="53" t="str">
        <f>IF($B148="","",IFERROR($E148*IFERROR(INDEX(Parâmetros!$E$5:$E$10,MATCH($C148,Parâmetros!$B$5:$B$10,0)),"")-$I148,""))</f>
        <v/>
      </c>
      <c r="K148" s="54" t="str">
        <f>IF($B148="","",IF(NOT(ISNUMBER($J148)),"",IF($J148&lt;=0,"OK - frota cobre a meta do dia",IF($J148&lt;=Parâmetros!$C$15,"ATENCAO - faltam "&amp;TEXT($J148,"0")&amp;" viagem(ns) de frota","CRITICO - faltam "&amp;TEXT($J148,"0")&amp;" viagens: acionar plano"))))</f>
        <v/>
      </c>
      <c r="L148" s="51"/>
      <c r="M148" s="51"/>
      <c r="N148" s="51"/>
      <c r="O148" s="50"/>
      <c r="P148" s="51"/>
      <c r="Q148" s="51"/>
      <c r="R148" s="55"/>
      <c r="S148" s="56"/>
      <c r="T148" s="56"/>
      <c r="U148" s="56"/>
      <c r="V148" s="19"/>
      <c r="W148" s="51"/>
      <c r="X148" s="57" t="str">
        <f t="shared" si="14"/>
        <v/>
      </c>
      <c r="Y148" s="57" t="str">
        <f t="shared" si="15"/>
        <v/>
      </c>
      <c r="Z148" s="57" t="str">
        <f t="shared" si="16"/>
        <v/>
      </c>
      <c r="AA148" s="58" t="str">
        <f t="shared" si="17"/>
        <v/>
      </c>
      <c r="AB148" s="58" t="str">
        <f t="shared" si="18"/>
        <v/>
      </c>
      <c r="AC148" s="57" t="str">
        <f t="shared" si="19"/>
        <v/>
      </c>
      <c r="AD148" s="59" t="str">
        <f t="shared" si="20"/>
        <v/>
      </c>
      <c r="AE148" s="54" t="str">
        <f>IF($B148="","",IF(NOT(ISNUMBER($AA148)),"Aguardando fechamento",IF($P148&gt;0,"ACAO: "&amp;TEXT($P148,"0")&amp;" carga(s) terceirizada(s) de forma evitavel",IF(IF(ISNUMBER($Z148),$Z148,0)&gt;IFERROR(INDEX(Parâmetros!$G$5:$G$10,MATCH($C148,Parâmetros!$B$5:$B$10,0)),""),"ALERTA: terceiros acima da meta",IF($AA148&gt;IFERROR(INDEX(Parâmetros!$D$5:$D$10,MATCH($C148,Parâmetros!$B$5:$B$10,0)),""),"ALERTA: custo/km acima da meta","OK - dentro das metas")))))</f>
        <v/>
      </c>
    </row>
    <row r="149" spans="2:31" ht="15" customHeight="1" x14ac:dyDescent="0.3">
      <c r="B149" s="48"/>
      <c r="C149" s="49"/>
      <c r="D149" s="50"/>
      <c r="E149" s="51"/>
      <c r="F149" s="52"/>
      <c r="G149" s="51"/>
      <c r="H149" s="51"/>
      <c r="I149" s="53" t="str">
        <f>IF($B149="","",IFERROR($G149*IFERROR(INDEX(Parâmetros!$C$5:$C$10,MATCH($C149,Parâmetros!$B$5:$B$10,0)),"")/Parâmetros!$C$13,""))</f>
        <v/>
      </c>
      <c r="J149" s="53" t="str">
        <f>IF($B149="","",IFERROR($E149*IFERROR(INDEX(Parâmetros!$E$5:$E$10,MATCH($C149,Parâmetros!$B$5:$B$10,0)),"")-$I149,""))</f>
        <v/>
      </c>
      <c r="K149" s="54" t="str">
        <f>IF($B149="","",IF(NOT(ISNUMBER($J149)),"",IF($J149&lt;=0,"OK - frota cobre a meta do dia",IF($J149&lt;=Parâmetros!$C$15,"ATENCAO - faltam "&amp;TEXT($J149,"0")&amp;" viagem(ns) de frota","CRITICO - faltam "&amp;TEXT($J149,"0")&amp;" viagens: acionar plano"))))</f>
        <v/>
      </c>
      <c r="L149" s="51"/>
      <c r="M149" s="51"/>
      <c r="N149" s="51"/>
      <c r="O149" s="50"/>
      <c r="P149" s="51"/>
      <c r="Q149" s="51"/>
      <c r="R149" s="55"/>
      <c r="S149" s="56"/>
      <c r="T149" s="56"/>
      <c r="U149" s="56"/>
      <c r="V149" s="19"/>
      <c r="W149" s="51"/>
      <c r="X149" s="57" t="str">
        <f t="shared" si="14"/>
        <v/>
      </c>
      <c r="Y149" s="57" t="str">
        <f t="shared" si="15"/>
        <v/>
      </c>
      <c r="Z149" s="57" t="str">
        <f t="shared" si="16"/>
        <v/>
      </c>
      <c r="AA149" s="58" t="str">
        <f t="shared" si="17"/>
        <v/>
      </c>
      <c r="AB149" s="58" t="str">
        <f t="shared" si="18"/>
        <v/>
      </c>
      <c r="AC149" s="57" t="str">
        <f t="shared" si="19"/>
        <v/>
      </c>
      <c r="AD149" s="59" t="str">
        <f t="shared" si="20"/>
        <v/>
      </c>
      <c r="AE149" s="54" t="str">
        <f>IF($B149="","",IF(NOT(ISNUMBER($AA149)),"Aguardando fechamento",IF($P149&gt;0,"ACAO: "&amp;TEXT($P149,"0")&amp;" carga(s) terceirizada(s) de forma evitavel",IF(IF(ISNUMBER($Z149),$Z149,0)&gt;IFERROR(INDEX(Parâmetros!$G$5:$G$10,MATCH($C149,Parâmetros!$B$5:$B$10,0)),""),"ALERTA: terceiros acima da meta",IF($AA149&gt;IFERROR(INDEX(Parâmetros!$D$5:$D$10,MATCH($C149,Parâmetros!$B$5:$B$10,0)),""),"ALERTA: custo/km acima da meta","OK - dentro das metas")))))</f>
        <v/>
      </c>
    </row>
    <row r="150" spans="2:31" ht="15" customHeight="1" x14ac:dyDescent="0.3">
      <c r="B150" s="48"/>
      <c r="C150" s="49"/>
      <c r="D150" s="50"/>
      <c r="E150" s="51"/>
      <c r="F150" s="52"/>
      <c r="G150" s="51"/>
      <c r="H150" s="51"/>
      <c r="I150" s="53" t="str">
        <f>IF($B150="","",IFERROR($G150*IFERROR(INDEX(Parâmetros!$C$5:$C$10,MATCH($C150,Parâmetros!$B$5:$B$10,0)),"")/Parâmetros!$C$13,""))</f>
        <v/>
      </c>
      <c r="J150" s="53" t="str">
        <f>IF($B150="","",IFERROR($E150*IFERROR(INDEX(Parâmetros!$E$5:$E$10,MATCH($C150,Parâmetros!$B$5:$B$10,0)),"")-$I150,""))</f>
        <v/>
      </c>
      <c r="K150" s="54" t="str">
        <f>IF($B150="","",IF(NOT(ISNUMBER($J150)),"",IF($J150&lt;=0,"OK - frota cobre a meta do dia",IF($J150&lt;=Parâmetros!$C$15,"ATENCAO - faltam "&amp;TEXT($J150,"0")&amp;" viagem(ns) de frota","CRITICO - faltam "&amp;TEXT($J150,"0")&amp;" viagens: acionar plano"))))</f>
        <v/>
      </c>
      <c r="L150" s="51"/>
      <c r="M150" s="51"/>
      <c r="N150" s="51"/>
      <c r="O150" s="50"/>
      <c r="P150" s="51"/>
      <c r="Q150" s="51"/>
      <c r="R150" s="55"/>
      <c r="S150" s="56"/>
      <c r="T150" s="56"/>
      <c r="U150" s="56"/>
      <c r="V150" s="19"/>
      <c r="W150" s="51"/>
      <c r="X150" s="57" t="str">
        <f t="shared" si="14"/>
        <v/>
      </c>
      <c r="Y150" s="57" t="str">
        <f t="shared" si="15"/>
        <v/>
      </c>
      <c r="Z150" s="57" t="str">
        <f t="shared" si="16"/>
        <v/>
      </c>
      <c r="AA150" s="58" t="str">
        <f t="shared" si="17"/>
        <v/>
      </c>
      <c r="AB150" s="58" t="str">
        <f t="shared" si="18"/>
        <v/>
      </c>
      <c r="AC150" s="57" t="str">
        <f t="shared" si="19"/>
        <v/>
      </c>
      <c r="AD150" s="59" t="str">
        <f t="shared" si="20"/>
        <v/>
      </c>
      <c r="AE150" s="54" t="str">
        <f>IF($B150="","",IF(NOT(ISNUMBER($AA150)),"Aguardando fechamento",IF($P150&gt;0,"ACAO: "&amp;TEXT($P150,"0")&amp;" carga(s) terceirizada(s) de forma evitavel",IF(IF(ISNUMBER($Z150),$Z150,0)&gt;IFERROR(INDEX(Parâmetros!$G$5:$G$10,MATCH($C150,Parâmetros!$B$5:$B$10,0)),""),"ALERTA: terceiros acima da meta",IF($AA150&gt;IFERROR(INDEX(Parâmetros!$D$5:$D$10,MATCH($C150,Parâmetros!$B$5:$B$10,0)),""),"ALERTA: custo/km acima da meta","OK - dentro das metas")))))</f>
        <v/>
      </c>
    </row>
    <row r="151" spans="2:31" ht="15" customHeight="1" x14ac:dyDescent="0.3">
      <c r="B151" s="48"/>
      <c r="C151" s="49"/>
      <c r="D151" s="50"/>
      <c r="E151" s="51"/>
      <c r="F151" s="52"/>
      <c r="G151" s="51"/>
      <c r="H151" s="51"/>
      <c r="I151" s="53" t="str">
        <f>IF($B151="","",IFERROR($G151*IFERROR(INDEX(Parâmetros!$C$5:$C$10,MATCH($C151,Parâmetros!$B$5:$B$10,0)),"")/Parâmetros!$C$13,""))</f>
        <v/>
      </c>
      <c r="J151" s="53" t="str">
        <f>IF($B151="","",IFERROR($E151*IFERROR(INDEX(Parâmetros!$E$5:$E$10,MATCH($C151,Parâmetros!$B$5:$B$10,0)),"")-$I151,""))</f>
        <v/>
      </c>
      <c r="K151" s="54" t="str">
        <f>IF($B151="","",IF(NOT(ISNUMBER($J151)),"",IF($J151&lt;=0,"OK - frota cobre a meta do dia",IF($J151&lt;=Parâmetros!$C$15,"ATENCAO - faltam "&amp;TEXT($J151,"0")&amp;" viagem(ns) de frota","CRITICO - faltam "&amp;TEXT($J151,"0")&amp;" viagens: acionar plano"))))</f>
        <v/>
      </c>
      <c r="L151" s="51"/>
      <c r="M151" s="51"/>
      <c r="N151" s="51"/>
      <c r="O151" s="50"/>
      <c r="P151" s="51"/>
      <c r="Q151" s="51"/>
      <c r="R151" s="55"/>
      <c r="S151" s="56"/>
      <c r="T151" s="56"/>
      <c r="U151" s="56"/>
      <c r="V151" s="19"/>
      <c r="W151" s="51"/>
      <c r="X151" s="57" t="str">
        <f t="shared" si="14"/>
        <v/>
      </c>
      <c r="Y151" s="57" t="str">
        <f t="shared" si="15"/>
        <v/>
      </c>
      <c r="Z151" s="57" t="str">
        <f t="shared" si="16"/>
        <v/>
      </c>
      <c r="AA151" s="58" t="str">
        <f t="shared" si="17"/>
        <v/>
      </c>
      <c r="AB151" s="58" t="str">
        <f t="shared" si="18"/>
        <v/>
      </c>
      <c r="AC151" s="57" t="str">
        <f t="shared" si="19"/>
        <v/>
      </c>
      <c r="AD151" s="59" t="str">
        <f t="shared" si="20"/>
        <v/>
      </c>
      <c r="AE151" s="54" t="str">
        <f>IF($B151="","",IF(NOT(ISNUMBER($AA151)),"Aguardando fechamento",IF($P151&gt;0,"ACAO: "&amp;TEXT($P151,"0")&amp;" carga(s) terceirizada(s) de forma evitavel",IF(IF(ISNUMBER($Z151),$Z151,0)&gt;IFERROR(INDEX(Parâmetros!$G$5:$G$10,MATCH($C151,Parâmetros!$B$5:$B$10,0)),""),"ALERTA: terceiros acima da meta",IF($AA151&gt;IFERROR(INDEX(Parâmetros!$D$5:$D$10,MATCH($C151,Parâmetros!$B$5:$B$10,0)),""),"ALERTA: custo/km acima da meta","OK - dentro das metas")))))</f>
        <v/>
      </c>
    </row>
    <row r="152" spans="2:31" ht="15" customHeight="1" x14ac:dyDescent="0.3">
      <c r="B152" s="48"/>
      <c r="C152" s="49"/>
      <c r="D152" s="50"/>
      <c r="E152" s="51"/>
      <c r="F152" s="52"/>
      <c r="G152" s="51"/>
      <c r="H152" s="51"/>
      <c r="I152" s="53" t="str">
        <f>IF($B152="","",IFERROR($G152*IFERROR(INDEX(Parâmetros!$C$5:$C$10,MATCH($C152,Parâmetros!$B$5:$B$10,0)),"")/Parâmetros!$C$13,""))</f>
        <v/>
      </c>
      <c r="J152" s="53" t="str">
        <f>IF($B152="","",IFERROR($E152*IFERROR(INDEX(Parâmetros!$E$5:$E$10,MATCH($C152,Parâmetros!$B$5:$B$10,0)),"")-$I152,""))</f>
        <v/>
      </c>
      <c r="K152" s="54" t="str">
        <f>IF($B152="","",IF(NOT(ISNUMBER($J152)),"",IF($J152&lt;=0,"OK - frota cobre a meta do dia",IF($J152&lt;=Parâmetros!$C$15,"ATENCAO - faltam "&amp;TEXT($J152,"0")&amp;" viagem(ns) de frota","CRITICO - faltam "&amp;TEXT($J152,"0")&amp;" viagens: acionar plano"))))</f>
        <v/>
      </c>
      <c r="L152" s="51"/>
      <c r="M152" s="51"/>
      <c r="N152" s="51"/>
      <c r="O152" s="50"/>
      <c r="P152" s="51"/>
      <c r="Q152" s="51"/>
      <c r="R152" s="55"/>
      <c r="S152" s="56"/>
      <c r="T152" s="56"/>
      <c r="U152" s="56"/>
      <c r="V152" s="19"/>
      <c r="W152" s="51"/>
      <c r="X152" s="57" t="str">
        <f t="shared" si="14"/>
        <v/>
      </c>
      <c r="Y152" s="57" t="str">
        <f t="shared" si="15"/>
        <v/>
      </c>
      <c r="Z152" s="57" t="str">
        <f t="shared" si="16"/>
        <v/>
      </c>
      <c r="AA152" s="58" t="str">
        <f t="shared" si="17"/>
        <v/>
      </c>
      <c r="AB152" s="58" t="str">
        <f t="shared" si="18"/>
        <v/>
      </c>
      <c r="AC152" s="57" t="str">
        <f t="shared" si="19"/>
        <v/>
      </c>
      <c r="AD152" s="59" t="str">
        <f t="shared" si="20"/>
        <v/>
      </c>
      <c r="AE152" s="54" t="str">
        <f>IF($B152="","",IF(NOT(ISNUMBER($AA152)),"Aguardando fechamento",IF($P152&gt;0,"ACAO: "&amp;TEXT($P152,"0")&amp;" carga(s) terceirizada(s) de forma evitavel",IF(IF(ISNUMBER($Z152),$Z152,0)&gt;IFERROR(INDEX(Parâmetros!$G$5:$G$10,MATCH($C152,Parâmetros!$B$5:$B$10,0)),""),"ALERTA: terceiros acima da meta",IF($AA152&gt;IFERROR(INDEX(Parâmetros!$D$5:$D$10,MATCH($C152,Parâmetros!$B$5:$B$10,0)),""),"ALERTA: custo/km acima da meta","OK - dentro das metas")))))</f>
        <v/>
      </c>
    </row>
    <row r="153" spans="2:31" ht="15" customHeight="1" x14ac:dyDescent="0.3">
      <c r="B153" s="48"/>
      <c r="C153" s="49"/>
      <c r="D153" s="50"/>
      <c r="E153" s="51"/>
      <c r="F153" s="52"/>
      <c r="G153" s="51"/>
      <c r="H153" s="51"/>
      <c r="I153" s="53" t="str">
        <f>IF($B153="","",IFERROR($G153*IFERROR(INDEX(Parâmetros!$C$5:$C$10,MATCH($C153,Parâmetros!$B$5:$B$10,0)),"")/Parâmetros!$C$13,""))</f>
        <v/>
      </c>
      <c r="J153" s="53" t="str">
        <f>IF($B153="","",IFERROR($E153*IFERROR(INDEX(Parâmetros!$E$5:$E$10,MATCH($C153,Parâmetros!$B$5:$B$10,0)),"")-$I153,""))</f>
        <v/>
      </c>
      <c r="K153" s="54" t="str">
        <f>IF($B153="","",IF(NOT(ISNUMBER($J153)),"",IF($J153&lt;=0,"OK - frota cobre a meta do dia",IF($J153&lt;=Parâmetros!$C$15,"ATENCAO - faltam "&amp;TEXT($J153,"0")&amp;" viagem(ns) de frota","CRITICO - faltam "&amp;TEXT($J153,"0")&amp;" viagens: acionar plano"))))</f>
        <v/>
      </c>
      <c r="L153" s="51"/>
      <c r="M153" s="51"/>
      <c r="N153" s="51"/>
      <c r="O153" s="50"/>
      <c r="P153" s="51"/>
      <c r="Q153" s="51"/>
      <c r="R153" s="55"/>
      <c r="S153" s="56"/>
      <c r="T153" s="56"/>
      <c r="U153" s="56"/>
      <c r="V153" s="19"/>
      <c r="W153" s="51"/>
      <c r="X153" s="57" t="str">
        <f t="shared" si="14"/>
        <v/>
      </c>
      <c r="Y153" s="57" t="str">
        <f t="shared" si="15"/>
        <v/>
      </c>
      <c r="Z153" s="57" t="str">
        <f t="shared" si="16"/>
        <v/>
      </c>
      <c r="AA153" s="58" t="str">
        <f t="shared" si="17"/>
        <v/>
      </c>
      <c r="AB153" s="58" t="str">
        <f t="shared" si="18"/>
        <v/>
      </c>
      <c r="AC153" s="57" t="str">
        <f t="shared" si="19"/>
        <v/>
      </c>
      <c r="AD153" s="59" t="str">
        <f t="shared" si="20"/>
        <v/>
      </c>
      <c r="AE153" s="54" t="str">
        <f>IF($B153="","",IF(NOT(ISNUMBER($AA153)),"Aguardando fechamento",IF($P153&gt;0,"ACAO: "&amp;TEXT($P153,"0")&amp;" carga(s) terceirizada(s) de forma evitavel",IF(IF(ISNUMBER($Z153),$Z153,0)&gt;IFERROR(INDEX(Parâmetros!$G$5:$G$10,MATCH($C153,Parâmetros!$B$5:$B$10,0)),""),"ALERTA: terceiros acima da meta",IF($AA153&gt;IFERROR(INDEX(Parâmetros!$D$5:$D$10,MATCH($C153,Parâmetros!$B$5:$B$10,0)),""),"ALERTA: custo/km acima da meta","OK - dentro das metas")))))</f>
        <v/>
      </c>
    </row>
    <row r="154" spans="2:31" ht="15" customHeight="1" x14ac:dyDescent="0.3">
      <c r="B154" s="48"/>
      <c r="C154" s="49"/>
      <c r="D154" s="50"/>
      <c r="E154" s="51"/>
      <c r="F154" s="52"/>
      <c r="G154" s="51"/>
      <c r="H154" s="51"/>
      <c r="I154" s="53" t="str">
        <f>IF($B154="","",IFERROR($G154*IFERROR(INDEX(Parâmetros!$C$5:$C$10,MATCH($C154,Parâmetros!$B$5:$B$10,0)),"")/Parâmetros!$C$13,""))</f>
        <v/>
      </c>
      <c r="J154" s="53" t="str">
        <f>IF($B154="","",IFERROR($E154*IFERROR(INDEX(Parâmetros!$E$5:$E$10,MATCH($C154,Parâmetros!$B$5:$B$10,0)),"")-$I154,""))</f>
        <v/>
      </c>
      <c r="K154" s="54" t="str">
        <f>IF($B154="","",IF(NOT(ISNUMBER($J154)),"",IF($J154&lt;=0,"OK - frota cobre a meta do dia",IF($J154&lt;=Parâmetros!$C$15,"ATENCAO - faltam "&amp;TEXT($J154,"0")&amp;" viagem(ns) de frota","CRITICO - faltam "&amp;TEXT($J154,"0")&amp;" viagens: acionar plano"))))</f>
        <v/>
      </c>
      <c r="L154" s="51"/>
      <c r="M154" s="51"/>
      <c r="N154" s="51"/>
      <c r="O154" s="50"/>
      <c r="P154" s="51"/>
      <c r="Q154" s="51"/>
      <c r="R154" s="55"/>
      <c r="S154" s="56"/>
      <c r="T154" s="56"/>
      <c r="U154" s="56"/>
      <c r="V154" s="19"/>
      <c r="W154" s="51"/>
      <c r="X154" s="57" t="str">
        <f t="shared" si="14"/>
        <v/>
      </c>
      <c r="Y154" s="57" t="str">
        <f t="shared" si="15"/>
        <v/>
      </c>
      <c r="Z154" s="57" t="str">
        <f t="shared" si="16"/>
        <v/>
      </c>
      <c r="AA154" s="58" t="str">
        <f t="shared" si="17"/>
        <v/>
      </c>
      <c r="AB154" s="58" t="str">
        <f t="shared" si="18"/>
        <v/>
      </c>
      <c r="AC154" s="57" t="str">
        <f t="shared" si="19"/>
        <v/>
      </c>
      <c r="AD154" s="59" t="str">
        <f t="shared" si="20"/>
        <v/>
      </c>
      <c r="AE154" s="54" t="str">
        <f>IF($B154="","",IF(NOT(ISNUMBER($AA154)),"Aguardando fechamento",IF($P154&gt;0,"ACAO: "&amp;TEXT($P154,"0")&amp;" carga(s) terceirizada(s) de forma evitavel",IF(IF(ISNUMBER($Z154),$Z154,0)&gt;IFERROR(INDEX(Parâmetros!$G$5:$G$10,MATCH($C154,Parâmetros!$B$5:$B$10,0)),""),"ALERTA: terceiros acima da meta",IF($AA154&gt;IFERROR(INDEX(Parâmetros!$D$5:$D$10,MATCH($C154,Parâmetros!$B$5:$B$10,0)),""),"ALERTA: custo/km acima da meta","OK - dentro das metas")))))</f>
        <v/>
      </c>
    </row>
    <row r="155" spans="2:31" ht="15" customHeight="1" x14ac:dyDescent="0.3">
      <c r="B155" s="48"/>
      <c r="C155" s="49"/>
      <c r="D155" s="50"/>
      <c r="E155" s="51"/>
      <c r="F155" s="52"/>
      <c r="G155" s="51"/>
      <c r="H155" s="51"/>
      <c r="I155" s="53" t="str">
        <f>IF($B155="","",IFERROR($G155*IFERROR(INDEX(Parâmetros!$C$5:$C$10,MATCH($C155,Parâmetros!$B$5:$B$10,0)),"")/Parâmetros!$C$13,""))</f>
        <v/>
      </c>
      <c r="J155" s="53" t="str">
        <f>IF($B155="","",IFERROR($E155*IFERROR(INDEX(Parâmetros!$E$5:$E$10,MATCH($C155,Parâmetros!$B$5:$B$10,0)),"")-$I155,""))</f>
        <v/>
      </c>
      <c r="K155" s="54" t="str">
        <f>IF($B155="","",IF(NOT(ISNUMBER($J155)),"",IF($J155&lt;=0,"OK - frota cobre a meta do dia",IF($J155&lt;=Parâmetros!$C$15,"ATENCAO - faltam "&amp;TEXT($J155,"0")&amp;" viagem(ns) de frota","CRITICO - faltam "&amp;TEXT($J155,"0")&amp;" viagens: acionar plano"))))</f>
        <v/>
      </c>
      <c r="L155" s="51"/>
      <c r="M155" s="51"/>
      <c r="N155" s="51"/>
      <c r="O155" s="50"/>
      <c r="P155" s="51"/>
      <c r="Q155" s="51"/>
      <c r="R155" s="55"/>
      <c r="S155" s="56"/>
      <c r="T155" s="56"/>
      <c r="U155" s="56"/>
      <c r="V155" s="19"/>
      <c r="W155" s="51"/>
      <c r="X155" s="57" t="str">
        <f t="shared" si="14"/>
        <v/>
      </c>
      <c r="Y155" s="57" t="str">
        <f t="shared" si="15"/>
        <v/>
      </c>
      <c r="Z155" s="57" t="str">
        <f t="shared" si="16"/>
        <v/>
      </c>
      <c r="AA155" s="58" t="str">
        <f t="shared" si="17"/>
        <v/>
      </c>
      <c r="AB155" s="58" t="str">
        <f t="shared" si="18"/>
        <v/>
      </c>
      <c r="AC155" s="57" t="str">
        <f t="shared" si="19"/>
        <v/>
      </c>
      <c r="AD155" s="59" t="str">
        <f t="shared" si="20"/>
        <v/>
      </c>
      <c r="AE155" s="54" t="str">
        <f>IF($B155="","",IF(NOT(ISNUMBER($AA155)),"Aguardando fechamento",IF($P155&gt;0,"ACAO: "&amp;TEXT($P155,"0")&amp;" carga(s) terceirizada(s) de forma evitavel",IF(IF(ISNUMBER($Z155),$Z155,0)&gt;IFERROR(INDEX(Parâmetros!$G$5:$G$10,MATCH($C155,Parâmetros!$B$5:$B$10,0)),""),"ALERTA: terceiros acima da meta",IF($AA155&gt;IFERROR(INDEX(Parâmetros!$D$5:$D$10,MATCH($C155,Parâmetros!$B$5:$B$10,0)),""),"ALERTA: custo/km acima da meta","OK - dentro das metas")))))</f>
        <v/>
      </c>
    </row>
    <row r="156" spans="2:31" ht="15" customHeight="1" x14ac:dyDescent="0.3">
      <c r="B156" s="48"/>
      <c r="C156" s="49"/>
      <c r="D156" s="50"/>
      <c r="E156" s="51"/>
      <c r="F156" s="52"/>
      <c r="G156" s="51"/>
      <c r="H156" s="51"/>
      <c r="I156" s="53" t="str">
        <f>IF($B156="","",IFERROR($G156*IFERROR(INDEX(Parâmetros!$C$5:$C$10,MATCH($C156,Parâmetros!$B$5:$B$10,0)),"")/Parâmetros!$C$13,""))</f>
        <v/>
      </c>
      <c r="J156" s="53" t="str">
        <f>IF($B156="","",IFERROR($E156*IFERROR(INDEX(Parâmetros!$E$5:$E$10,MATCH($C156,Parâmetros!$B$5:$B$10,0)),"")-$I156,""))</f>
        <v/>
      </c>
      <c r="K156" s="54" t="str">
        <f>IF($B156="","",IF(NOT(ISNUMBER($J156)),"",IF($J156&lt;=0,"OK - frota cobre a meta do dia",IF($J156&lt;=Parâmetros!$C$15,"ATENCAO - faltam "&amp;TEXT($J156,"0")&amp;" viagem(ns) de frota","CRITICO - faltam "&amp;TEXT($J156,"0")&amp;" viagens: acionar plano"))))</f>
        <v/>
      </c>
      <c r="L156" s="51"/>
      <c r="M156" s="51"/>
      <c r="N156" s="51"/>
      <c r="O156" s="50"/>
      <c r="P156" s="51"/>
      <c r="Q156" s="51"/>
      <c r="R156" s="55"/>
      <c r="S156" s="56"/>
      <c r="T156" s="56"/>
      <c r="U156" s="56"/>
      <c r="V156" s="19"/>
      <c r="W156" s="51"/>
      <c r="X156" s="57" t="str">
        <f t="shared" si="14"/>
        <v/>
      </c>
      <c r="Y156" s="57" t="str">
        <f t="shared" si="15"/>
        <v/>
      </c>
      <c r="Z156" s="57" t="str">
        <f t="shared" si="16"/>
        <v/>
      </c>
      <c r="AA156" s="58" t="str">
        <f t="shared" si="17"/>
        <v/>
      </c>
      <c r="AB156" s="58" t="str">
        <f t="shared" si="18"/>
        <v/>
      </c>
      <c r="AC156" s="57" t="str">
        <f t="shared" si="19"/>
        <v/>
      </c>
      <c r="AD156" s="59" t="str">
        <f t="shared" si="20"/>
        <v/>
      </c>
      <c r="AE156" s="54" t="str">
        <f>IF($B156="","",IF(NOT(ISNUMBER($AA156)),"Aguardando fechamento",IF($P156&gt;0,"ACAO: "&amp;TEXT($P156,"0")&amp;" carga(s) terceirizada(s) de forma evitavel",IF(IF(ISNUMBER($Z156),$Z156,0)&gt;IFERROR(INDEX(Parâmetros!$G$5:$G$10,MATCH($C156,Parâmetros!$B$5:$B$10,0)),""),"ALERTA: terceiros acima da meta",IF($AA156&gt;IFERROR(INDEX(Parâmetros!$D$5:$D$10,MATCH($C156,Parâmetros!$B$5:$B$10,0)),""),"ALERTA: custo/km acima da meta","OK - dentro das metas")))))</f>
        <v/>
      </c>
    </row>
    <row r="157" spans="2:31" ht="15" customHeight="1" x14ac:dyDescent="0.3">
      <c r="B157" s="48"/>
      <c r="C157" s="49"/>
      <c r="D157" s="50"/>
      <c r="E157" s="51"/>
      <c r="F157" s="52"/>
      <c r="G157" s="51"/>
      <c r="H157" s="51"/>
      <c r="I157" s="53" t="str">
        <f>IF($B157="","",IFERROR($G157*IFERROR(INDEX(Parâmetros!$C$5:$C$10,MATCH($C157,Parâmetros!$B$5:$B$10,0)),"")/Parâmetros!$C$13,""))</f>
        <v/>
      </c>
      <c r="J157" s="53" t="str">
        <f>IF($B157="","",IFERROR($E157*IFERROR(INDEX(Parâmetros!$E$5:$E$10,MATCH($C157,Parâmetros!$B$5:$B$10,0)),"")-$I157,""))</f>
        <v/>
      </c>
      <c r="K157" s="54" t="str">
        <f>IF($B157="","",IF(NOT(ISNUMBER($J157)),"",IF($J157&lt;=0,"OK - frota cobre a meta do dia",IF($J157&lt;=Parâmetros!$C$15,"ATENCAO - faltam "&amp;TEXT($J157,"0")&amp;" viagem(ns) de frota","CRITICO - faltam "&amp;TEXT($J157,"0")&amp;" viagens: acionar plano"))))</f>
        <v/>
      </c>
      <c r="L157" s="51"/>
      <c r="M157" s="51"/>
      <c r="N157" s="51"/>
      <c r="O157" s="50"/>
      <c r="P157" s="51"/>
      <c r="Q157" s="51"/>
      <c r="R157" s="55"/>
      <c r="S157" s="56"/>
      <c r="T157" s="56"/>
      <c r="U157" s="56"/>
      <c r="V157" s="19"/>
      <c r="W157" s="51"/>
      <c r="X157" s="57" t="str">
        <f t="shared" si="14"/>
        <v/>
      </c>
      <c r="Y157" s="57" t="str">
        <f t="shared" si="15"/>
        <v/>
      </c>
      <c r="Z157" s="57" t="str">
        <f t="shared" si="16"/>
        <v/>
      </c>
      <c r="AA157" s="58" t="str">
        <f t="shared" si="17"/>
        <v/>
      </c>
      <c r="AB157" s="58" t="str">
        <f t="shared" si="18"/>
        <v/>
      </c>
      <c r="AC157" s="57" t="str">
        <f t="shared" si="19"/>
        <v/>
      </c>
      <c r="AD157" s="59" t="str">
        <f t="shared" si="20"/>
        <v/>
      </c>
      <c r="AE157" s="54" t="str">
        <f>IF($B157="","",IF(NOT(ISNUMBER($AA157)),"Aguardando fechamento",IF($P157&gt;0,"ACAO: "&amp;TEXT($P157,"0")&amp;" carga(s) terceirizada(s) de forma evitavel",IF(IF(ISNUMBER($Z157),$Z157,0)&gt;IFERROR(INDEX(Parâmetros!$G$5:$G$10,MATCH($C157,Parâmetros!$B$5:$B$10,0)),""),"ALERTA: terceiros acima da meta",IF($AA157&gt;IFERROR(INDEX(Parâmetros!$D$5:$D$10,MATCH($C157,Parâmetros!$B$5:$B$10,0)),""),"ALERTA: custo/km acima da meta","OK - dentro das metas")))))</f>
        <v/>
      </c>
    </row>
    <row r="158" spans="2:31" ht="15" customHeight="1" x14ac:dyDescent="0.3">
      <c r="B158" s="48"/>
      <c r="C158" s="49"/>
      <c r="D158" s="50"/>
      <c r="E158" s="51"/>
      <c r="F158" s="52"/>
      <c r="G158" s="51"/>
      <c r="H158" s="51"/>
      <c r="I158" s="53" t="str">
        <f>IF($B158="","",IFERROR($G158*IFERROR(INDEX(Parâmetros!$C$5:$C$10,MATCH($C158,Parâmetros!$B$5:$B$10,0)),"")/Parâmetros!$C$13,""))</f>
        <v/>
      </c>
      <c r="J158" s="53" t="str">
        <f>IF($B158="","",IFERROR($E158*IFERROR(INDEX(Parâmetros!$E$5:$E$10,MATCH($C158,Parâmetros!$B$5:$B$10,0)),"")-$I158,""))</f>
        <v/>
      </c>
      <c r="K158" s="54" t="str">
        <f>IF($B158="","",IF(NOT(ISNUMBER($J158)),"",IF($J158&lt;=0,"OK - frota cobre a meta do dia",IF($J158&lt;=Parâmetros!$C$15,"ATENCAO - faltam "&amp;TEXT($J158,"0")&amp;" viagem(ns) de frota","CRITICO - faltam "&amp;TEXT($J158,"0")&amp;" viagens: acionar plano"))))</f>
        <v/>
      </c>
      <c r="L158" s="51"/>
      <c r="M158" s="51"/>
      <c r="N158" s="51"/>
      <c r="O158" s="50"/>
      <c r="P158" s="51"/>
      <c r="Q158" s="51"/>
      <c r="R158" s="55"/>
      <c r="S158" s="56"/>
      <c r="T158" s="56"/>
      <c r="U158" s="56"/>
      <c r="V158" s="19"/>
      <c r="W158" s="51"/>
      <c r="X158" s="57" t="str">
        <f t="shared" si="14"/>
        <v/>
      </c>
      <c r="Y158" s="57" t="str">
        <f t="shared" si="15"/>
        <v/>
      </c>
      <c r="Z158" s="57" t="str">
        <f t="shared" si="16"/>
        <v/>
      </c>
      <c r="AA158" s="58" t="str">
        <f t="shared" si="17"/>
        <v/>
      </c>
      <c r="AB158" s="58" t="str">
        <f t="shared" si="18"/>
        <v/>
      </c>
      <c r="AC158" s="57" t="str">
        <f t="shared" si="19"/>
        <v/>
      </c>
      <c r="AD158" s="59" t="str">
        <f t="shared" si="20"/>
        <v/>
      </c>
      <c r="AE158" s="54" t="str">
        <f>IF($B158="","",IF(NOT(ISNUMBER($AA158)),"Aguardando fechamento",IF($P158&gt;0,"ACAO: "&amp;TEXT($P158,"0")&amp;" carga(s) terceirizada(s) de forma evitavel",IF(IF(ISNUMBER($Z158),$Z158,0)&gt;IFERROR(INDEX(Parâmetros!$G$5:$G$10,MATCH($C158,Parâmetros!$B$5:$B$10,0)),""),"ALERTA: terceiros acima da meta",IF($AA158&gt;IFERROR(INDEX(Parâmetros!$D$5:$D$10,MATCH($C158,Parâmetros!$B$5:$B$10,0)),""),"ALERTA: custo/km acima da meta","OK - dentro das metas")))))</f>
        <v/>
      </c>
    </row>
    <row r="159" spans="2:31" ht="15" customHeight="1" x14ac:dyDescent="0.3">
      <c r="B159" s="48"/>
      <c r="C159" s="49"/>
      <c r="D159" s="50"/>
      <c r="E159" s="51"/>
      <c r="F159" s="52"/>
      <c r="G159" s="51"/>
      <c r="H159" s="51"/>
      <c r="I159" s="53" t="str">
        <f>IF($B159="","",IFERROR($G159*IFERROR(INDEX(Parâmetros!$C$5:$C$10,MATCH($C159,Parâmetros!$B$5:$B$10,0)),"")/Parâmetros!$C$13,""))</f>
        <v/>
      </c>
      <c r="J159" s="53" t="str">
        <f>IF($B159="","",IFERROR($E159*IFERROR(INDEX(Parâmetros!$E$5:$E$10,MATCH($C159,Parâmetros!$B$5:$B$10,0)),"")-$I159,""))</f>
        <v/>
      </c>
      <c r="K159" s="54" t="str">
        <f>IF($B159="","",IF(NOT(ISNUMBER($J159)),"",IF($J159&lt;=0,"OK - frota cobre a meta do dia",IF($J159&lt;=Parâmetros!$C$15,"ATENCAO - faltam "&amp;TEXT($J159,"0")&amp;" viagem(ns) de frota","CRITICO - faltam "&amp;TEXT($J159,"0")&amp;" viagens: acionar plano"))))</f>
        <v/>
      </c>
      <c r="L159" s="51"/>
      <c r="M159" s="51"/>
      <c r="N159" s="51"/>
      <c r="O159" s="50"/>
      <c r="P159" s="51"/>
      <c r="Q159" s="51"/>
      <c r="R159" s="55"/>
      <c r="S159" s="56"/>
      <c r="T159" s="56"/>
      <c r="U159" s="56"/>
      <c r="V159" s="19"/>
      <c r="W159" s="51"/>
      <c r="X159" s="57" t="str">
        <f t="shared" si="14"/>
        <v/>
      </c>
      <c r="Y159" s="57" t="str">
        <f t="shared" si="15"/>
        <v/>
      </c>
      <c r="Z159" s="57" t="str">
        <f t="shared" si="16"/>
        <v/>
      </c>
      <c r="AA159" s="58" t="str">
        <f t="shared" si="17"/>
        <v/>
      </c>
      <c r="AB159" s="58" t="str">
        <f t="shared" si="18"/>
        <v/>
      </c>
      <c r="AC159" s="57" t="str">
        <f t="shared" si="19"/>
        <v/>
      </c>
      <c r="AD159" s="59" t="str">
        <f t="shared" si="20"/>
        <v/>
      </c>
      <c r="AE159" s="54" t="str">
        <f>IF($B159="","",IF(NOT(ISNUMBER($AA159)),"Aguardando fechamento",IF($P159&gt;0,"ACAO: "&amp;TEXT($P159,"0")&amp;" carga(s) terceirizada(s) de forma evitavel",IF(IF(ISNUMBER($Z159),$Z159,0)&gt;IFERROR(INDEX(Parâmetros!$G$5:$G$10,MATCH($C159,Parâmetros!$B$5:$B$10,0)),""),"ALERTA: terceiros acima da meta",IF($AA159&gt;IFERROR(INDEX(Parâmetros!$D$5:$D$10,MATCH($C159,Parâmetros!$B$5:$B$10,0)),""),"ALERTA: custo/km acima da meta","OK - dentro das metas")))))</f>
        <v/>
      </c>
    </row>
    <row r="160" spans="2:31" ht="15" customHeight="1" x14ac:dyDescent="0.3">
      <c r="B160" s="48"/>
      <c r="C160" s="49"/>
      <c r="D160" s="50"/>
      <c r="E160" s="51"/>
      <c r="F160" s="52"/>
      <c r="G160" s="51"/>
      <c r="H160" s="51"/>
      <c r="I160" s="53" t="str">
        <f>IF($B160="","",IFERROR($G160*IFERROR(INDEX(Parâmetros!$C$5:$C$10,MATCH($C160,Parâmetros!$B$5:$B$10,0)),"")/Parâmetros!$C$13,""))</f>
        <v/>
      </c>
      <c r="J160" s="53" t="str">
        <f>IF($B160="","",IFERROR($E160*IFERROR(INDEX(Parâmetros!$E$5:$E$10,MATCH($C160,Parâmetros!$B$5:$B$10,0)),"")-$I160,""))</f>
        <v/>
      </c>
      <c r="K160" s="54" t="str">
        <f>IF($B160="","",IF(NOT(ISNUMBER($J160)),"",IF($J160&lt;=0,"OK - frota cobre a meta do dia",IF($J160&lt;=Parâmetros!$C$15,"ATENCAO - faltam "&amp;TEXT($J160,"0")&amp;" viagem(ns) de frota","CRITICO - faltam "&amp;TEXT($J160,"0")&amp;" viagens: acionar plano"))))</f>
        <v/>
      </c>
      <c r="L160" s="51"/>
      <c r="M160" s="51"/>
      <c r="N160" s="51"/>
      <c r="O160" s="50"/>
      <c r="P160" s="51"/>
      <c r="Q160" s="51"/>
      <c r="R160" s="55"/>
      <c r="S160" s="56"/>
      <c r="T160" s="56"/>
      <c r="U160" s="56"/>
      <c r="V160" s="19"/>
      <c r="W160" s="51"/>
      <c r="X160" s="57" t="str">
        <f t="shared" si="14"/>
        <v/>
      </c>
      <c r="Y160" s="57" t="str">
        <f t="shared" si="15"/>
        <v/>
      </c>
      <c r="Z160" s="57" t="str">
        <f t="shared" si="16"/>
        <v/>
      </c>
      <c r="AA160" s="58" t="str">
        <f t="shared" si="17"/>
        <v/>
      </c>
      <c r="AB160" s="58" t="str">
        <f t="shared" si="18"/>
        <v/>
      </c>
      <c r="AC160" s="57" t="str">
        <f t="shared" si="19"/>
        <v/>
      </c>
      <c r="AD160" s="59" t="str">
        <f t="shared" si="20"/>
        <v/>
      </c>
      <c r="AE160" s="54" t="str">
        <f>IF($B160="","",IF(NOT(ISNUMBER($AA160)),"Aguardando fechamento",IF($P160&gt;0,"ACAO: "&amp;TEXT($P160,"0")&amp;" carga(s) terceirizada(s) de forma evitavel",IF(IF(ISNUMBER($Z160),$Z160,0)&gt;IFERROR(INDEX(Parâmetros!$G$5:$G$10,MATCH($C160,Parâmetros!$B$5:$B$10,0)),""),"ALERTA: terceiros acima da meta",IF($AA160&gt;IFERROR(INDEX(Parâmetros!$D$5:$D$10,MATCH($C160,Parâmetros!$B$5:$B$10,0)),""),"ALERTA: custo/km acima da meta","OK - dentro das metas")))))</f>
        <v/>
      </c>
    </row>
    <row r="161" spans="2:31" ht="15" customHeight="1" x14ac:dyDescent="0.3">
      <c r="B161" s="48"/>
      <c r="C161" s="49"/>
      <c r="D161" s="50"/>
      <c r="E161" s="51"/>
      <c r="F161" s="52"/>
      <c r="G161" s="51"/>
      <c r="H161" s="51"/>
      <c r="I161" s="53" t="str">
        <f>IF($B161="","",IFERROR($G161*IFERROR(INDEX(Parâmetros!$C$5:$C$10,MATCH($C161,Parâmetros!$B$5:$B$10,0)),"")/Parâmetros!$C$13,""))</f>
        <v/>
      </c>
      <c r="J161" s="53" t="str">
        <f>IF($B161="","",IFERROR($E161*IFERROR(INDEX(Parâmetros!$E$5:$E$10,MATCH($C161,Parâmetros!$B$5:$B$10,0)),"")-$I161,""))</f>
        <v/>
      </c>
      <c r="K161" s="54" t="str">
        <f>IF($B161="","",IF(NOT(ISNUMBER($J161)),"",IF($J161&lt;=0,"OK - frota cobre a meta do dia",IF($J161&lt;=Parâmetros!$C$15,"ATENCAO - faltam "&amp;TEXT($J161,"0")&amp;" viagem(ns) de frota","CRITICO - faltam "&amp;TEXT($J161,"0")&amp;" viagens: acionar plano"))))</f>
        <v/>
      </c>
      <c r="L161" s="51"/>
      <c r="M161" s="51"/>
      <c r="N161" s="51"/>
      <c r="O161" s="50"/>
      <c r="P161" s="51"/>
      <c r="Q161" s="51"/>
      <c r="R161" s="55"/>
      <c r="S161" s="56"/>
      <c r="T161" s="56"/>
      <c r="U161" s="56"/>
      <c r="V161" s="19"/>
      <c r="W161" s="51"/>
      <c r="X161" s="57" t="str">
        <f t="shared" si="14"/>
        <v/>
      </c>
      <c r="Y161" s="57" t="str">
        <f t="shared" si="15"/>
        <v/>
      </c>
      <c r="Z161" s="57" t="str">
        <f t="shared" si="16"/>
        <v/>
      </c>
      <c r="AA161" s="58" t="str">
        <f t="shared" si="17"/>
        <v/>
      </c>
      <c r="AB161" s="58" t="str">
        <f t="shared" si="18"/>
        <v/>
      </c>
      <c r="AC161" s="57" t="str">
        <f t="shared" si="19"/>
        <v/>
      </c>
      <c r="AD161" s="59" t="str">
        <f t="shared" si="20"/>
        <v/>
      </c>
      <c r="AE161" s="54" t="str">
        <f>IF($B161="","",IF(NOT(ISNUMBER($AA161)),"Aguardando fechamento",IF($P161&gt;0,"ACAO: "&amp;TEXT($P161,"0")&amp;" carga(s) terceirizada(s) de forma evitavel",IF(IF(ISNUMBER($Z161),$Z161,0)&gt;IFERROR(INDEX(Parâmetros!$G$5:$G$10,MATCH($C161,Parâmetros!$B$5:$B$10,0)),""),"ALERTA: terceiros acima da meta",IF($AA161&gt;IFERROR(INDEX(Parâmetros!$D$5:$D$10,MATCH($C161,Parâmetros!$B$5:$B$10,0)),""),"ALERTA: custo/km acima da meta","OK - dentro das metas")))))</f>
        <v/>
      </c>
    </row>
    <row r="162" spans="2:31" ht="15" customHeight="1" x14ac:dyDescent="0.3">
      <c r="B162" s="48"/>
      <c r="C162" s="49"/>
      <c r="D162" s="50"/>
      <c r="E162" s="51"/>
      <c r="F162" s="52"/>
      <c r="G162" s="51"/>
      <c r="H162" s="51"/>
      <c r="I162" s="53" t="str">
        <f>IF($B162="","",IFERROR($G162*IFERROR(INDEX(Parâmetros!$C$5:$C$10,MATCH($C162,Parâmetros!$B$5:$B$10,0)),"")/Parâmetros!$C$13,""))</f>
        <v/>
      </c>
      <c r="J162" s="53" t="str">
        <f>IF($B162="","",IFERROR($E162*IFERROR(INDEX(Parâmetros!$E$5:$E$10,MATCH($C162,Parâmetros!$B$5:$B$10,0)),"")-$I162,""))</f>
        <v/>
      </c>
      <c r="K162" s="54" t="str">
        <f>IF($B162="","",IF(NOT(ISNUMBER($J162)),"",IF($J162&lt;=0,"OK - frota cobre a meta do dia",IF($J162&lt;=Parâmetros!$C$15,"ATENCAO - faltam "&amp;TEXT($J162,"0")&amp;" viagem(ns) de frota","CRITICO - faltam "&amp;TEXT($J162,"0")&amp;" viagens: acionar plano"))))</f>
        <v/>
      </c>
      <c r="L162" s="51"/>
      <c r="M162" s="51"/>
      <c r="N162" s="51"/>
      <c r="O162" s="50"/>
      <c r="P162" s="51"/>
      <c r="Q162" s="51"/>
      <c r="R162" s="55"/>
      <c r="S162" s="56"/>
      <c r="T162" s="56"/>
      <c r="U162" s="56"/>
      <c r="V162" s="19"/>
      <c r="W162" s="51"/>
      <c r="X162" s="57" t="str">
        <f t="shared" si="14"/>
        <v/>
      </c>
      <c r="Y162" s="57" t="str">
        <f t="shared" si="15"/>
        <v/>
      </c>
      <c r="Z162" s="57" t="str">
        <f t="shared" si="16"/>
        <v/>
      </c>
      <c r="AA162" s="58" t="str">
        <f t="shared" si="17"/>
        <v/>
      </c>
      <c r="AB162" s="58" t="str">
        <f t="shared" si="18"/>
        <v/>
      </c>
      <c r="AC162" s="57" t="str">
        <f t="shared" si="19"/>
        <v/>
      </c>
      <c r="AD162" s="59" t="str">
        <f t="shared" si="20"/>
        <v/>
      </c>
      <c r="AE162" s="54" t="str">
        <f>IF($B162="","",IF(NOT(ISNUMBER($AA162)),"Aguardando fechamento",IF($P162&gt;0,"ACAO: "&amp;TEXT($P162,"0")&amp;" carga(s) terceirizada(s) de forma evitavel",IF(IF(ISNUMBER($Z162),$Z162,0)&gt;IFERROR(INDEX(Parâmetros!$G$5:$G$10,MATCH($C162,Parâmetros!$B$5:$B$10,0)),""),"ALERTA: terceiros acima da meta",IF($AA162&gt;IFERROR(INDEX(Parâmetros!$D$5:$D$10,MATCH($C162,Parâmetros!$B$5:$B$10,0)),""),"ALERTA: custo/km acima da meta","OK - dentro das metas")))))</f>
        <v/>
      </c>
    </row>
    <row r="163" spans="2:31" ht="15" customHeight="1" x14ac:dyDescent="0.3">
      <c r="B163" s="48"/>
      <c r="C163" s="49"/>
      <c r="D163" s="50"/>
      <c r="E163" s="51"/>
      <c r="F163" s="52"/>
      <c r="G163" s="51"/>
      <c r="H163" s="51"/>
      <c r="I163" s="53" t="str">
        <f>IF($B163="","",IFERROR($G163*IFERROR(INDEX(Parâmetros!$C$5:$C$10,MATCH($C163,Parâmetros!$B$5:$B$10,0)),"")/Parâmetros!$C$13,""))</f>
        <v/>
      </c>
      <c r="J163" s="53" t="str">
        <f>IF($B163="","",IFERROR($E163*IFERROR(INDEX(Parâmetros!$E$5:$E$10,MATCH($C163,Parâmetros!$B$5:$B$10,0)),"")-$I163,""))</f>
        <v/>
      </c>
      <c r="K163" s="54" t="str">
        <f>IF($B163="","",IF(NOT(ISNUMBER($J163)),"",IF($J163&lt;=0,"OK - frota cobre a meta do dia",IF($J163&lt;=Parâmetros!$C$15,"ATENCAO - faltam "&amp;TEXT($J163,"0")&amp;" viagem(ns) de frota","CRITICO - faltam "&amp;TEXT($J163,"0")&amp;" viagens: acionar plano"))))</f>
        <v/>
      </c>
      <c r="L163" s="51"/>
      <c r="M163" s="51"/>
      <c r="N163" s="51"/>
      <c r="O163" s="50"/>
      <c r="P163" s="51"/>
      <c r="Q163" s="51"/>
      <c r="R163" s="55"/>
      <c r="S163" s="56"/>
      <c r="T163" s="56"/>
      <c r="U163" s="56"/>
      <c r="V163" s="19"/>
      <c r="W163" s="51"/>
      <c r="X163" s="57" t="str">
        <f t="shared" si="14"/>
        <v/>
      </c>
      <c r="Y163" s="57" t="str">
        <f t="shared" si="15"/>
        <v/>
      </c>
      <c r="Z163" s="57" t="str">
        <f t="shared" si="16"/>
        <v/>
      </c>
      <c r="AA163" s="58" t="str">
        <f t="shared" si="17"/>
        <v/>
      </c>
      <c r="AB163" s="58" t="str">
        <f t="shared" si="18"/>
        <v/>
      </c>
      <c r="AC163" s="57" t="str">
        <f t="shared" si="19"/>
        <v/>
      </c>
      <c r="AD163" s="59" t="str">
        <f t="shared" si="20"/>
        <v/>
      </c>
      <c r="AE163" s="54" t="str">
        <f>IF($B163="","",IF(NOT(ISNUMBER($AA163)),"Aguardando fechamento",IF($P163&gt;0,"ACAO: "&amp;TEXT($P163,"0")&amp;" carga(s) terceirizada(s) de forma evitavel",IF(IF(ISNUMBER($Z163),$Z163,0)&gt;IFERROR(INDEX(Parâmetros!$G$5:$G$10,MATCH($C163,Parâmetros!$B$5:$B$10,0)),""),"ALERTA: terceiros acima da meta",IF($AA163&gt;IFERROR(INDEX(Parâmetros!$D$5:$D$10,MATCH($C163,Parâmetros!$B$5:$B$10,0)),""),"ALERTA: custo/km acima da meta","OK - dentro das metas")))))</f>
        <v/>
      </c>
    </row>
    <row r="164" spans="2:31" ht="15" customHeight="1" x14ac:dyDescent="0.3">
      <c r="B164" s="48"/>
      <c r="C164" s="49"/>
      <c r="D164" s="50"/>
      <c r="E164" s="51"/>
      <c r="F164" s="52"/>
      <c r="G164" s="51"/>
      <c r="H164" s="51"/>
      <c r="I164" s="53" t="str">
        <f>IF($B164="","",IFERROR($G164*IFERROR(INDEX(Parâmetros!$C$5:$C$10,MATCH($C164,Parâmetros!$B$5:$B$10,0)),"")/Parâmetros!$C$13,""))</f>
        <v/>
      </c>
      <c r="J164" s="53" t="str">
        <f>IF($B164="","",IFERROR($E164*IFERROR(INDEX(Parâmetros!$E$5:$E$10,MATCH($C164,Parâmetros!$B$5:$B$10,0)),"")-$I164,""))</f>
        <v/>
      </c>
      <c r="K164" s="54" t="str">
        <f>IF($B164="","",IF(NOT(ISNUMBER($J164)),"",IF($J164&lt;=0,"OK - frota cobre a meta do dia",IF($J164&lt;=Parâmetros!$C$15,"ATENCAO - faltam "&amp;TEXT($J164,"0")&amp;" viagem(ns) de frota","CRITICO - faltam "&amp;TEXT($J164,"0")&amp;" viagens: acionar plano"))))</f>
        <v/>
      </c>
      <c r="L164" s="51"/>
      <c r="M164" s="51"/>
      <c r="N164" s="51"/>
      <c r="O164" s="50"/>
      <c r="P164" s="51"/>
      <c r="Q164" s="51"/>
      <c r="R164" s="55"/>
      <c r="S164" s="56"/>
      <c r="T164" s="56"/>
      <c r="U164" s="56"/>
      <c r="V164" s="19"/>
      <c r="W164" s="51"/>
      <c r="X164" s="57" t="str">
        <f t="shared" si="14"/>
        <v/>
      </c>
      <c r="Y164" s="57" t="str">
        <f t="shared" si="15"/>
        <v/>
      </c>
      <c r="Z164" s="57" t="str">
        <f t="shared" si="16"/>
        <v/>
      </c>
      <c r="AA164" s="58" t="str">
        <f t="shared" si="17"/>
        <v/>
      </c>
      <c r="AB164" s="58" t="str">
        <f t="shared" si="18"/>
        <v/>
      </c>
      <c r="AC164" s="57" t="str">
        <f t="shared" si="19"/>
        <v/>
      </c>
      <c r="AD164" s="59" t="str">
        <f t="shared" si="20"/>
        <v/>
      </c>
      <c r="AE164" s="54" t="str">
        <f>IF($B164="","",IF(NOT(ISNUMBER($AA164)),"Aguardando fechamento",IF($P164&gt;0,"ACAO: "&amp;TEXT($P164,"0")&amp;" carga(s) terceirizada(s) de forma evitavel",IF(IF(ISNUMBER($Z164),$Z164,0)&gt;IFERROR(INDEX(Parâmetros!$G$5:$G$10,MATCH($C164,Parâmetros!$B$5:$B$10,0)),""),"ALERTA: terceiros acima da meta",IF($AA164&gt;IFERROR(INDEX(Parâmetros!$D$5:$D$10,MATCH($C164,Parâmetros!$B$5:$B$10,0)),""),"ALERTA: custo/km acima da meta","OK - dentro das metas")))))</f>
        <v/>
      </c>
    </row>
    <row r="165" spans="2:31" ht="15" customHeight="1" x14ac:dyDescent="0.3">
      <c r="B165" s="48"/>
      <c r="C165" s="49"/>
      <c r="D165" s="50"/>
      <c r="E165" s="51"/>
      <c r="F165" s="52"/>
      <c r="G165" s="51"/>
      <c r="H165" s="51"/>
      <c r="I165" s="53" t="str">
        <f>IF($B165="","",IFERROR($G165*IFERROR(INDEX(Parâmetros!$C$5:$C$10,MATCH($C165,Parâmetros!$B$5:$B$10,0)),"")/Parâmetros!$C$13,""))</f>
        <v/>
      </c>
      <c r="J165" s="53" t="str">
        <f>IF($B165="","",IFERROR($E165*IFERROR(INDEX(Parâmetros!$E$5:$E$10,MATCH($C165,Parâmetros!$B$5:$B$10,0)),"")-$I165,""))</f>
        <v/>
      </c>
      <c r="K165" s="54" t="str">
        <f>IF($B165="","",IF(NOT(ISNUMBER($J165)),"",IF($J165&lt;=0,"OK - frota cobre a meta do dia",IF($J165&lt;=Parâmetros!$C$15,"ATENCAO - faltam "&amp;TEXT($J165,"0")&amp;" viagem(ns) de frota","CRITICO - faltam "&amp;TEXT($J165,"0")&amp;" viagens: acionar plano"))))</f>
        <v/>
      </c>
      <c r="L165" s="51"/>
      <c r="M165" s="51"/>
      <c r="N165" s="51"/>
      <c r="O165" s="50"/>
      <c r="P165" s="51"/>
      <c r="Q165" s="51"/>
      <c r="R165" s="55"/>
      <c r="S165" s="56"/>
      <c r="T165" s="56"/>
      <c r="U165" s="56"/>
      <c r="V165" s="19"/>
      <c r="W165" s="51"/>
      <c r="X165" s="57" t="str">
        <f t="shared" si="14"/>
        <v/>
      </c>
      <c r="Y165" s="57" t="str">
        <f t="shared" si="15"/>
        <v/>
      </c>
      <c r="Z165" s="57" t="str">
        <f t="shared" si="16"/>
        <v/>
      </c>
      <c r="AA165" s="58" t="str">
        <f t="shared" si="17"/>
        <v/>
      </c>
      <c r="AB165" s="58" t="str">
        <f t="shared" si="18"/>
        <v/>
      </c>
      <c r="AC165" s="57" t="str">
        <f t="shared" si="19"/>
        <v/>
      </c>
      <c r="AD165" s="59" t="str">
        <f t="shared" si="20"/>
        <v/>
      </c>
      <c r="AE165" s="54" t="str">
        <f>IF($B165="","",IF(NOT(ISNUMBER($AA165)),"Aguardando fechamento",IF($P165&gt;0,"ACAO: "&amp;TEXT($P165,"0")&amp;" carga(s) terceirizada(s) de forma evitavel",IF(IF(ISNUMBER($Z165),$Z165,0)&gt;IFERROR(INDEX(Parâmetros!$G$5:$G$10,MATCH($C165,Parâmetros!$B$5:$B$10,0)),""),"ALERTA: terceiros acima da meta",IF($AA165&gt;IFERROR(INDEX(Parâmetros!$D$5:$D$10,MATCH($C165,Parâmetros!$B$5:$B$10,0)),""),"ALERTA: custo/km acima da meta","OK - dentro das metas")))))</f>
        <v/>
      </c>
    </row>
    <row r="166" spans="2:31" ht="15" customHeight="1" x14ac:dyDescent="0.3">
      <c r="B166" s="48"/>
      <c r="C166" s="49"/>
      <c r="D166" s="50"/>
      <c r="E166" s="51"/>
      <c r="F166" s="52"/>
      <c r="G166" s="51"/>
      <c r="H166" s="51"/>
      <c r="I166" s="53" t="str">
        <f>IF($B166="","",IFERROR($G166*IFERROR(INDEX(Parâmetros!$C$5:$C$10,MATCH($C166,Parâmetros!$B$5:$B$10,0)),"")/Parâmetros!$C$13,""))</f>
        <v/>
      </c>
      <c r="J166" s="53" t="str">
        <f>IF($B166="","",IFERROR($E166*IFERROR(INDEX(Parâmetros!$E$5:$E$10,MATCH($C166,Parâmetros!$B$5:$B$10,0)),"")-$I166,""))</f>
        <v/>
      </c>
      <c r="K166" s="54" t="str">
        <f>IF($B166="","",IF(NOT(ISNUMBER($J166)),"",IF($J166&lt;=0,"OK - frota cobre a meta do dia",IF($J166&lt;=Parâmetros!$C$15,"ATENCAO - faltam "&amp;TEXT($J166,"0")&amp;" viagem(ns) de frota","CRITICO - faltam "&amp;TEXT($J166,"0")&amp;" viagens: acionar plano"))))</f>
        <v/>
      </c>
      <c r="L166" s="51"/>
      <c r="M166" s="51"/>
      <c r="N166" s="51"/>
      <c r="O166" s="50"/>
      <c r="P166" s="51"/>
      <c r="Q166" s="51"/>
      <c r="R166" s="55"/>
      <c r="S166" s="56"/>
      <c r="T166" s="56"/>
      <c r="U166" s="56"/>
      <c r="V166" s="19"/>
      <c r="W166" s="51"/>
      <c r="X166" s="57" t="str">
        <f t="shared" si="14"/>
        <v/>
      </c>
      <c r="Y166" s="57" t="str">
        <f t="shared" si="15"/>
        <v/>
      </c>
      <c r="Z166" s="57" t="str">
        <f t="shared" si="16"/>
        <v/>
      </c>
      <c r="AA166" s="58" t="str">
        <f t="shared" si="17"/>
        <v/>
      </c>
      <c r="AB166" s="58" t="str">
        <f t="shared" si="18"/>
        <v/>
      </c>
      <c r="AC166" s="57" t="str">
        <f t="shared" si="19"/>
        <v/>
      </c>
      <c r="AD166" s="59" t="str">
        <f t="shared" si="20"/>
        <v/>
      </c>
      <c r="AE166" s="54" t="str">
        <f>IF($B166="","",IF(NOT(ISNUMBER($AA166)),"Aguardando fechamento",IF($P166&gt;0,"ACAO: "&amp;TEXT($P166,"0")&amp;" carga(s) terceirizada(s) de forma evitavel",IF(IF(ISNUMBER($Z166),$Z166,0)&gt;IFERROR(INDEX(Parâmetros!$G$5:$G$10,MATCH($C166,Parâmetros!$B$5:$B$10,0)),""),"ALERTA: terceiros acima da meta",IF($AA166&gt;IFERROR(INDEX(Parâmetros!$D$5:$D$10,MATCH($C166,Parâmetros!$B$5:$B$10,0)),""),"ALERTA: custo/km acima da meta","OK - dentro das metas")))))</f>
        <v/>
      </c>
    </row>
    <row r="167" spans="2:31" ht="15" customHeight="1" x14ac:dyDescent="0.3">
      <c r="B167" s="48"/>
      <c r="C167" s="49"/>
      <c r="D167" s="50"/>
      <c r="E167" s="51"/>
      <c r="F167" s="52"/>
      <c r="G167" s="51"/>
      <c r="H167" s="51"/>
      <c r="I167" s="53" t="str">
        <f>IF($B167="","",IFERROR($G167*IFERROR(INDEX(Parâmetros!$C$5:$C$10,MATCH($C167,Parâmetros!$B$5:$B$10,0)),"")/Parâmetros!$C$13,""))</f>
        <v/>
      </c>
      <c r="J167" s="53" t="str">
        <f>IF($B167="","",IFERROR($E167*IFERROR(INDEX(Parâmetros!$E$5:$E$10,MATCH($C167,Parâmetros!$B$5:$B$10,0)),"")-$I167,""))</f>
        <v/>
      </c>
      <c r="K167" s="54" t="str">
        <f>IF($B167="","",IF(NOT(ISNUMBER($J167)),"",IF($J167&lt;=0,"OK - frota cobre a meta do dia",IF($J167&lt;=Parâmetros!$C$15,"ATENCAO - faltam "&amp;TEXT($J167,"0")&amp;" viagem(ns) de frota","CRITICO - faltam "&amp;TEXT($J167,"0")&amp;" viagens: acionar plano"))))</f>
        <v/>
      </c>
      <c r="L167" s="51"/>
      <c r="M167" s="51"/>
      <c r="N167" s="51"/>
      <c r="O167" s="50"/>
      <c r="P167" s="51"/>
      <c r="Q167" s="51"/>
      <c r="R167" s="55"/>
      <c r="S167" s="56"/>
      <c r="T167" s="56"/>
      <c r="U167" s="56"/>
      <c r="V167" s="19"/>
      <c r="W167" s="51"/>
      <c r="X167" s="57" t="str">
        <f t="shared" si="14"/>
        <v/>
      </c>
      <c r="Y167" s="57" t="str">
        <f t="shared" si="15"/>
        <v/>
      </c>
      <c r="Z167" s="57" t="str">
        <f t="shared" si="16"/>
        <v/>
      </c>
      <c r="AA167" s="58" t="str">
        <f t="shared" si="17"/>
        <v/>
      </c>
      <c r="AB167" s="58" t="str">
        <f t="shared" si="18"/>
        <v/>
      </c>
      <c r="AC167" s="57" t="str">
        <f t="shared" si="19"/>
        <v/>
      </c>
      <c r="AD167" s="59" t="str">
        <f t="shared" si="20"/>
        <v/>
      </c>
      <c r="AE167" s="54" t="str">
        <f>IF($B167="","",IF(NOT(ISNUMBER($AA167)),"Aguardando fechamento",IF($P167&gt;0,"ACAO: "&amp;TEXT($P167,"0")&amp;" carga(s) terceirizada(s) de forma evitavel",IF(IF(ISNUMBER($Z167),$Z167,0)&gt;IFERROR(INDEX(Parâmetros!$G$5:$G$10,MATCH($C167,Parâmetros!$B$5:$B$10,0)),""),"ALERTA: terceiros acima da meta",IF($AA167&gt;IFERROR(INDEX(Parâmetros!$D$5:$D$10,MATCH($C167,Parâmetros!$B$5:$B$10,0)),""),"ALERTA: custo/km acima da meta","OK - dentro das metas")))))</f>
        <v/>
      </c>
    </row>
    <row r="168" spans="2:31" ht="15" customHeight="1" x14ac:dyDescent="0.3">
      <c r="B168" s="48"/>
      <c r="C168" s="49"/>
      <c r="D168" s="50"/>
      <c r="E168" s="51"/>
      <c r="F168" s="52"/>
      <c r="G168" s="51"/>
      <c r="H168" s="51"/>
      <c r="I168" s="53" t="str">
        <f>IF($B168="","",IFERROR($G168*IFERROR(INDEX(Parâmetros!$C$5:$C$10,MATCH($C168,Parâmetros!$B$5:$B$10,0)),"")/Parâmetros!$C$13,""))</f>
        <v/>
      </c>
      <c r="J168" s="53" t="str">
        <f>IF($B168="","",IFERROR($E168*IFERROR(INDEX(Parâmetros!$E$5:$E$10,MATCH($C168,Parâmetros!$B$5:$B$10,0)),"")-$I168,""))</f>
        <v/>
      </c>
      <c r="K168" s="54" t="str">
        <f>IF($B168="","",IF(NOT(ISNUMBER($J168)),"",IF($J168&lt;=0,"OK - frota cobre a meta do dia",IF($J168&lt;=Parâmetros!$C$15,"ATENCAO - faltam "&amp;TEXT($J168,"0")&amp;" viagem(ns) de frota","CRITICO - faltam "&amp;TEXT($J168,"0")&amp;" viagens: acionar plano"))))</f>
        <v/>
      </c>
      <c r="L168" s="51"/>
      <c r="M168" s="51"/>
      <c r="N168" s="51"/>
      <c r="O168" s="50"/>
      <c r="P168" s="51"/>
      <c r="Q168" s="51"/>
      <c r="R168" s="55"/>
      <c r="S168" s="56"/>
      <c r="T168" s="56"/>
      <c r="U168" s="56"/>
      <c r="V168" s="19"/>
      <c r="W168" s="51"/>
      <c r="X168" s="57" t="str">
        <f t="shared" si="14"/>
        <v/>
      </c>
      <c r="Y168" s="57" t="str">
        <f t="shared" si="15"/>
        <v/>
      </c>
      <c r="Z168" s="57" t="str">
        <f t="shared" si="16"/>
        <v/>
      </c>
      <c r="AA168" s="58" t="str">
        <f t="shared" si="17"/>
        <v/>
      </c>
      <c r="AB168" s="58" t="str">
        <f t="shared" si="18"/>
        <v/>
      </c>
      <c r="AC168" s="57" t="str">
        <f t="shared" si="19"/>
        <v/>
      </c>
      <c r="AD168" s="59" t="str">
        <f t="shared" si="20"/>
        <v/>
      </c>
      <c r="AE168" s="54" t="str">
        <f>IF($B168="","",IF(NOT(ISNUMBER($AA168)),"Aguardando fechamento",IF($P168&gt;0,"ACAO: "&amp;TEXT($P168,"0")&amp;" carga(s) terceirizada(s) de forma evitavel",IF(IF(ISNUMBER($Z168),$Z168,0)&gt;IFERROR(INDEX(Parâmetros!$G$5:$G$10,MATCH($C168,Parâmetros!$B$5:$B$10,0)),""),"ALERTA: terceiros acima da meta",IF($AA168&gt;IFERROR(INDEX(Parâmetros!$D$5:$D$10,MATCH($C168,Parâmetros!$B$5:$B$10,0)),""),"ALERTA: custo/km acima da meta","OK - dentro das metas")))))</f>
        <v/>
      </c>
    </row>
    <row r="169" spans="2:31" ht="15" customHeight="1" x14ac:dyDescent="0.3">
      <c r="B169" s="48"/>
      <c r="C169" s="49"/>
      <c r="D169" s="50"/>
      <c r="E169" s="51"/>
      <c r="F169" s="52"/>
      <c r="G169" s="51"/>
      <c r="H169" s="51"/>
      <c r="I169" s="53" t="str">
        <f>IF($B169="","",IFERROR($G169*IFERROR(INDEX(Parâmetros!$C$5:$C$10,MATCH($C169,Parâmetros!$B$5:$B$10,0)),"")/Parâmetros!$C$13,""))</f>
        <v/>
      </c>
      <c r="J169" s="53" t="str">
        <f>IF($B169="","",IFERROR($E169*IFERROR(INDEX(Parâmetros!$E$5:$E$10,MATCH($C169,Parâmetros!$B$5:$B$10,0)),"")-$I169,""))</f>
        <v/>
      </c>
      <c r="K169" s="54" t="str">
        <f>IF($B169="","",IF(NOT(ISNUMBER($J169)),"",IF($J169&lt;=0,"OK - frota cobre a meta do dia",IF($J169&lt;=Parâmetros!$C$15,"ATENCAO - faltam "&amp;TEXT($J169,"0")&amp;" viagem(ns) de frota","CRITICO - faltam "&amp;TEXT($J169,"0")&amp;" viagens: acionar plano"))))</f>
        <v/>
      </c>
      <c r="L169" s="51"/>
      <c r="M169" s="51"/>
      <c r="N169" s="51"/>
      <c r="O169" s="50"/>
      <c r="P169" s="51"/>
      <c r="Q169" s="51"/>
      <c r="R169" s="55"/>
      <c r="S169" s="56"/>
      <c r="T169" s="56"/>
      <c r="U169" s="56"/>
      <c r="V169" s="19"/>
      <c r="W169" s="51"/>
      <c r="X169" s="57" t="str">
        <f t="shared" si="14"/>
        <v/>
      </c>
      <c r="Y169" s="57" t="str">
        <f t="shared" si="15"/>
        <v/>
      </c>
      <c r="Z169" s="57" t="str">
        <f t="shared" si="16"/>
        <v/>
      </c>
      <c r="AA169" s="58" t="str">
        <f t="shared" si="17"/>
        <v/>
      </c>
      <c r="AB169" s="58" t="str">
        <f t="shared" si="18"/>
        <v/>
      </c>
      <c r="AC169" s="57" t="str">
        <f t="shared" si="19"/>
        <v/>
      </c>
      <c r="AD169" s="59" t="str">
        <f t="shared" si="20"/>
        <v/>
      </c>
      <c r="AE169" s="54" t="str">
        <f>IF($B169="","",IF(NOT(ISNUMBER($AA169)),"Aguardando fechamento",IF($P169&gt;0,"ACAO: "&amp;TEXT($P169,"0")&amp;" carga(s) terceirizada(s) de forma evitavel",IF(IF(ISNUMBER($Z169),$Z169,0)&gt;IFERROR(INDEX(Parâmetros!$G$5:$G$10,MATCH($C169,Parâmetros!$B$5:$B$10,0)),""),"ALERTA: terceiros acima da meta",IF($AA169&gt;IFERROR(INDEX(Parâmetros!$D$5:$D$10,MATCH($C169,Parâmetros!$B$5:$B$10,0)),""),"ALERTA: custo/km acima da meta","OK - dentro das metas")))))</f>
        <v/>
      </c>
    </row>
    <row r="170" spans="2:31" ht="15" customHeight="1" x14ac:dyDescent="0.3">
      <c r="B170" s="48"/>
      <c r="C170" s="49"/>
      <c r="D170" s="50"/>
      <c r="E170" s="51"/>
      <c r="F170" s="52"/>
      <c r="G170" s="51"/>
      <c r="H170" s="51"/>
      <c r="I170" s="53" t="str">
        <f>IF($B170="","",IFERROR($G170*IFERROR(INDEX(Parâmetros!$C$5:$C$10,MATCH($C170,Parâmetros!$B$5:$B$10,0)),"")/Parâmetros!$C$13,""))</f>
        <v/>
      </c>
      <c r="J170" s="53" t="str">
        <f>IF($B170="","",IFERROR($E170*IFERROR(INDEX(Parâmetros!$E$5:$E$10,MATCH($C170,Parâmetros!$B$5:$B$10,0)),"")-$I170,""))</f>
        <v/>
      </c>
      <c r="K170" s="54" t="str">
        <f>IF($B170="","",IF(NOT(ISNUMBER($J170)),"",IF($J170&lt;=0,"OK - frota cobre a meta do dia",IF($J170&lt;=Parâmetros!$C$15,"ATENCAO - faltam "&amp;TEXT($J170,"0")&amp;" viagem(ns) de frota","CRITICO - faltam "&amp;TEXT($J170,"0")&amp;" viagens: acionar plano"))))</f>
        <v/>
      </c>
      <c r="L170" s="51"/>
      <c r="M170" s="51"/>
      <c r="N170" s="51"/>
      <c r="O170" s="50"/>
      <c r="P170" s="51"/>
      <c r="Q170" s="51"/>
      <c r="R170" s="55"/>
      <c r="S170" s="56"/>
      <c r="T170" s="56"/>
      <c r="U170" s="56"/>
      <c r="V170" s="19"/>
      <c r="W170" s="51"/>
      <c r="X170" s="57" t="str">
        <f t="shared" si="14"/>
        <v/>
      </c>
      <c r="Y170" s="57" t="str">
        <f t="shared" si="15"/>
        <v/>
      </c>
      <c r="Z170" s="57" t="str">
        <f t="shared" si="16"/>
        <v/>
      </c>
      <c r="AA170" s="58" t="str">
        <f t="shared" si="17"/>
        <v/>
      </c>
      <c r="AB170" s="58" t="str">
        <f t="shared" si="18"/>
        <v/>
      </c>
      <c r="AC170" s="57" t="str">
        <f t="shared" si="19"/>
        <v/>
      </c>
      <c r="AD170" s="59" t="str">
        <f t="shared" si="20"/>
        <v/>
      </c>
      <c r="AE170" s="54" t="str">
        <f>IF($B170="","",IF(NOT(ISNUMBER($AA170)),"Aguardando fechamento",IF($P170&gt;0,"ACAO: "&amp;TEXT($P170,"0")&amp;" carga(s) terceirizada(s) de forma evitavel",IF(IF(ISNUMBER($Z170),$Z170,0)&gt;IFERROR(INDEX(Parâmetros!$G$5:$G$10,MATCH($C170,Parâmetros!$B$5:$B$10,0)),""),"ALERTA: terceiros acima da meta",IF($AA170&gt;IFERROR(INDEX(Parâmetros!$D$5:$D$10,MATCH($C170,Parâmetros!$B$5:$B$10,0)),""),"ALERTA: custo/km acima da meta","OK - dentro das metas")))))</f>
        <v/>
      </c>
    </row>
    <row r="171" spans="2:31" ht="15" customHeight="1" x14ac:dyDescent="0.3">
      <c r="B171" s="48"/>
      <c r="C171" s="49"/>
      <c r="D171" s="50"/>
      <c r="E171" s="51"/>
      <c r="F171" s="52"/>
      <c r="G171" s="51"/>
      <c r="H171" s="51"/>
      <c r="I171" s="53" t="str">
        <f>IF($B171="","",IFERROR($G171*IFERROR(INDEX(Parâmetros!$C$5:$C$10,MATCH($C171,Parâmetros!$B$5:$B$10,0)),"")/Parâmetros!$C$13,""))</f>
        <v/>
      </c>
      <c r="J171" s="53" t="str">
        <f>IF($B171="","",IFERROR($E171*IFERROR(INDEX(Parâmetros!$E$5:$E$10,MATCH($C171,Parâmetros!$B$5:$B$10,0)),"")-$I171,""))</f>
        <v/>
      </c>
      <c r="K171" s="54" t="str">
        <f>IF($B171="","",IF(NOT(ISNUMBER($J171)),"",IF($J171&lt;=0,"OK - frota cobre a meta do dia",IF($J171&lt;=Parâmetros!$C$15,"ATENCAO - faltam "&amp;TEXT($J171,"0")&amp;" viagem(ns) de frota","CRITICO - faltam "&amp;TEXT($J171,"0")&amp;" viagens: acionar plano"))))</f>
        <v/>
      </c>
      <c r="L171" s="51"/>
      <c r="M171" s="51"/>
      <c r="N171" s="51"/>
      <c r="O171" s="50"/>
      <c r="P171" s="51"/>
      <c r="Q171" s="51"/>
      <c r="R171" s="55"/>
      <c r="S171" s="56"/>
      <c r="T171" s="56"/>
      <c r="U171" s="56"/>
      <c r="V171" s="19"/>
      <c r="W171" s="51"/>
      <c r="X171" s="57" t="str">
        <f t="shared" si="14"/>
        <v/>
      </c>
      <c r="Y171" s="57" t="str">
        <f t="shared" si="15"/>
        <v/>
      </c>
      <c r="Z171" s="57" t="str">
        <f t="shared" si="16"/>
        <v/>
      </c>
      <c r="AA171" s="58" t="str">
        <f t="shared" si="17"/>
        <v/>
      </c>
      <c r="AB171" s="58" t="str">
        <f t="shared" si="18"/>
        <v/>
      </c>
      <c r="AC171" s="57" t="str">
        <f t="shared" si="19"/>
        <v/>
      </c>
      <c r="AD171" s="59" t="str">
        <f t="shared" si="20"/>
        <v/>
      </c>
      <c r="AE171" s="54" t="str">
        <f>IF($B171="","",IF(NOT(ISNUMBER($AA171)),"Aguardando fechamento",IF($P171&gt;0,"ACAO: "&amp;TEXT($P171,"0")&amp;" carga(s) terceirizada(s) de forma evitavel",IF(IF(ISNUMBER($Z171),$Z171,0)&gt;IFERROR(INDEX(Parâmetros!$G$5:$G$10,MATCH($C171,Parâmetros!$B$5:$B$10,0)),""),"ALERTA: terceiros acima da meta",IF($AA171&gt;IFERROR(INDEX(Parâmetros!$D$5:$D$10,MATCH($C171,Parâmetros!$B$5:$B$10,0)),""),"ALERTA: custo/km acima da meta","OK - dentro das metas")))))</f>
        <v/>
      </c>
    </row>
    <row r="172" spans="2:31" ht="15" customHeight="1" x14ac:dyDescent="0.3">
      <c r="B172" s="48"/>
      <c r="C172" s="49"/>
      <c r="D172" s="50"/>
      <c r="E172" s="51"/>
      <c r="F172" s="52"/>
      <c r="G172" s="51"/>
      <c r="H172" s="51"/>
      <c r="I172" s="53" t="str">
        <f>IF($B172="","",IFERROR($G172*IFERROR(INDEX(Parâmetros!$C$5:$C$10,MATCH($C172,Parâmetros!$B$5:$B$10,0)),"")/Parâmetros!$C$13,""))</f>
        <v/>
      </c>
      <c r="J172" s="53" t="str">
        <f>IF($B172="","",IFERROR($E172*IFERROR(INDEX(Parâmetros!$E$5:$E$10,MATCH($C172,Parâmetros!$B$5:$B$10,0)),"")-$I172,""))</f>
        <v/>
      </c>
      <c r="K172" s="54" t="str">
        <f>IF($B172="","",IF(NOT(ISNUMBER($J172)),"",IF($J172&lt;=0,"OK - frota cobre a meta do dia",IF($J172&lt;=Parâmetros!$C$15,"ATENCAO - faltam "&amp;TEXT($J172,"0")&amp;" viagem(ns) de frota","CRITICO - faltam "&amp;TEXT($J172,"0")&amp;" viagens: acionar plano"))))</f>
        <v/>
      </c>
      <c r="L172" s="51"/>
      <c r="M172" s="51"/>
      <c r="N172" s="51"/>
      <c r="O172" s="50"/>
      <c r="P172" s="51"/>
      <c r="Q172" s="51"/>
      <c r="R172" s="55"/>
      <c r="S172" s="56"/>
      <c r="T172" s="56"/>
      <c r="U172" s="56"/>
      <c r="V172" s="19"/>
      <c r="W172" s="51"/>
      <c r="X172" s="57" t="str">
        <f t="shared" si="14"/>
        <v/>
      </c>
      <c r="Y172" s="57" t="str">
        <f t="shared" si="15"/>
        <v/>
      </c>
      <c r="Z172" s="57" t="str">
        <f t="shared" si="16"/>
        <v/>
      </c>
      <c r="AA172" s="58" t="str">
        <f t="shared" si="17"/>
        <v/>
      </c>
      <c r="AB172" s="58" t="str">
        <f t="shared" si="18"/>
        <v/>
      </c>
      <c r="AC172" s="57" t="str">
        <f t="shared" si="19"/>
        <v/>
      </c>
      <c r="AD172" s="59" t="str">
        <f t="shared" si="20"/>
        <v/>
      </c>
      <c r="AE172" s="54" t="str">
        <f>IF($B172="","",IF(NOT(ISNUMBER($AA172)),"Aguardando fechamento",IF($P172&gt;0,"ACAO: "&amp;TEXT($P172,"0")&amp;" carga(s) terceirizada(s) de forma evitavel",IF(IF(ISNUMBER($Z172),$Z172,0)&gt;IFERROR(INDEX(Parâmetros!$G$5:$G$10,MATCH($C172,Parâmetros!$B$5:$B$10,0)),""),"ALERTA: terceiros acima da meta",IF($AA172&gt;IFERROR(INDEX(Parâmetros!$D$5:$D$10,MATCH($C172,Parâmetros!$B$5:$B$10,0)),""),"ALERTA: custo/km acima da meta","OK - dentro das metas")))))</f>
        <v/>
      </c>
    </row>
    <row r="173" spans="2:31" ht="15" customHeight="1" x14ac:dyDescent="0.3">
      <c r="B173" s="48"/>
      <c r="C173" s="49"/>
      <c r="D173" s="50"/>
      <c r="E173" s="51"/>
      <c r="F173" s="52"/>
      <c r="G173" s="51"/>
      <c r="H173" s="51"/>
      <c r="I173" s="53" t="str">
        <f>IF($B173="","",IFERROR($G173*IFERROR(INDEX(Parâmetros!$C$5:$C$10,MATCH($C173,Parâmetros!$B$5:$B$10,0)),"")/Parâmetros!$C$13,""))</f>
        <v/>
      </c>
      <c r="J173" s="53" t="str">
        <f>IF($B173="","",IFERROR($E173*IFERROR(INDEX(Parâmetros!$E$5:$E$10,MATCH($C173,Parâmetros!$B$5:$B$10,0)),"")-$I173,""))</f>
        <v/>
      </c>
      <c r="K173" s="54" t="str">
        <f>IF($B173="","",IF(NOT(ISNUMBER($J173)),"",IF($J173&lt;=0,"OK - frota cobre a meta do dia",IF($J173&lt;=Parâmetros!$C$15,"ATENCAO - faltam "&amp;TEXT($J173,"0")&amp;" viagem(ns) de frota","CRITICO - faltam "&amp;TEXT($J173,"0")&amp;" viagens: acionar plano"))))</f>
        <v/>
      </c>
      <c r="L173" s="51"/>
      <c r="M173" s="51"/>
      <c r="N173" s="51"/>
      <c r="O173" s="50"/>
      <c r="P173" s="51"/>
      <c r="Q173" s="51"/>
      <c r="R173" s="55"/>
      <c r="S173" s="56"/>
      <c r="T173" s="56"/>
      <c r="U173" s="56"/>
      <c r="V173" s="19"/>
      <c r="W173" s="51"/>
      <c r="X173" s="57" t="str">
        <f t="shared" si="14"/>
        <v/>
      </c>
      <c r="Y173" s="57" t="str">
        <f t="shared" si="15"/>
        <v/>
      </c>
      <c r="Z173" s="57" t="str">
        <f t="shared" si="16"/>
        <v/>
      </c>
      <c r="AA173" s="58" t="str">
        <f t="shared" si="17"/>
        <v/>
      </c>
      <c r="AB173" s="58" t="str">
        <f t="shared" si="18"/>
        <v/>
      </c>
      <c r="AC173" s="57" t="str">
        <f t="shared" si="19"/>
        <v/>
      </c>
      <c r="AD173" s="59" t="str">
        <f t="shared" si="20"/>
        <v/>
      </c>
      <c r="AE173" s="54" t="str">
        <f>IF($B173="","",IF(NOT(ISNUMBER($AA173)),"Aguardando fechamento",IF($P173&gt;0,"ACAO: "&amp;TEXT($P173,"0")&amp;" carga(s) terceirizada(s) de forma evitavel",IF(IF(ISNUMBER($Z173),$Z173,0)&gt;IFERROR(INDEX(Parâmetros!$G$5:$G$10,MATCH($C173,Parâmetros!$B$5:$B$10,0)),""),"ALERTA: terceiros acima da meta",IF($AA173&gt;IFERROR(INDEX(Parâmetros!$D$5:$D$10,MATCH($C173,Parâmetros!$B$5:$B$10,0)),""),"ALERTA: custo/km acima da meta","OK - dentro das metas")))))</f>
        <v/>
      </c>
    </row>
    <row r="174" spans="2:31" ht="15" customHeight="1" x14ac:dyDescent="0.3">
      <c r="B174" s="48"/>
      <c r="C174" s="49"/>
      <c r="D174" s="50"/>
      <c r="E174" s="51"/>
      <c r="F174" s="52"/>
      <c r="G174" s="51"/>
      <c r="H174" s="51"/>
      <c r="I174" s="53" t="str">
        <f>IF($B174="","",IFERROR($G174*IFERROR(INDEX(Parâmetros!$C$5:$C$10,MATCH($C174,Parâmetros!$B$5:$B$10,0)),"")/Parâmetros!$C$13,""))</f>
        <v/>
      </c>
      <c r="J174" s="53" t="str">
        <f>IF($B174="","",IFERROR($E174*IFERROR(INDEX(Parâmetros!$E$5:$E$10,MATCH($C174,Parâmetros!$B$5:$B$10,0)),"")-$I174,""))</f>
        <v/>
      </c>
      <c r="K174" s="54" t="str">
        <f>IF($B174="","",IF(NOT(ISNUMBER($J174)),"",IF($J174&lt;=0,"OK - frota cobre a meta do dia",IF($J174&lt;=Parâmetros!$C$15,"ATENCAO - faltam "&amp;TEXT($J174,"0")&amp;" viagem(ns) de frota","CRITICO - faltam "&amp;TEXT($J174,"0")&amp;" viagens: acionar plano"))))</f>
        <v/>
      </c>
      <c r="L174" s="51"/>
      <c r="M174" s="51"/>
      <c r="N174" s="51"/>
      <c r="O174" s="50"/>
      <c r="P174" s="51"/>
      <c r="Q174" s="51"/>
      <c r="R174" s="55"/>
      <c r="S174" s="56"/>
      <c r="T174" s="56"/>
      <c r="U174" s="56"/>
      <c r="V174" s="19"/>
      <c r="W174" s="51"/>
      <c r="X174" s="57" t="str">
        <f t="shared" si="14"/>
        <v/>
      </c>
      <c r="Y174" s="57" t="str">
        <f t="shared" si="15"/>
        <v/>
      </c>
      <c r="Z174" s="57" t="str">
        <f t="shared" si="16"/>
        <v/>
      </c>
      <c r="AA174" s="58" t="str">
        <f t="shared" si="17"/>
        <v/>
      </c>
      <c r="AB174" s="58" t="str">
        <f t="shared" si="18"/>
        <v/>
      </c>
      <c r="AC174" s="57" t="str">
        <f t="shared" si="19"/>
        <v/>
      </c>
      <c r="AD174" s="59" t="str">
        <f t="shared" si="20"/>
        <v/>
      </c>
      <c r="AE174" s="54" t="str">
        <f>IF($B174="","",IF(NOT(ISNUMBER($AA174)),"Aguardando fechamento",IF($P174&gt;0,"ACAO: "&amp;TEXT($P174,"0")&amp;" carga(s) terceirizada(s) de forma evitavel",IF(IF(ISNUMBER($Z174),$Z174,0)&gt;IFERROR(INDEX(Parâmetros!$G$5:$G$10,MATCH($C174,Parâmetros!$B$5:$B$10,0)),""),"ALERTA: terceiros acima da meta",IF($AA174&gt;IFERROR(INDEX(Parâmetros!$D$5:$D$10,MATCH($C174,Parâmetros!$B$5:$B$10,0)),""),"ALERTA: custo/km acima da meta","OK - dentro das metas")))))</f>
        <v/>
      </c>
    </row>
    <row r="175" spans="2:31" ht="15" customHeight="1" x14ac:dyDescent="0.3">
      <c r="B175" s="48"/>
      <c r="C175" s="49"/>
      <c r="D175" s="50"/>
      <c r="E175" s="51"/>
      <c r="F175" s="52"/>
      <c r="G175" s="51"/>
      <c r="H175" s="51"/>
      <c r="I175" s="53" t="str">
        <f>IF($B175="","",IFERROR($G175*IFERROR(INDEX(Parâmetros!$C$5:$C$10,MATCH($C175,Parâmetros!$B$5:$B$10,0)),"")/Parâmetros!$C$13,""))</f>
        <v/>
      </c>
      <c r="J175" s="53" t="str">
        <f>IF($B175="","",IFERROR($E175*IFERROR(INDEX(Parâmetros!$E$5:$E$10,MATCH($C175,Parâmetros!$B$5:$B$10,0)),"")-$I175,""))</f>
        <v/>
      </c>
      <c r="K175" s="54" t="str">
        <f>IF($B175="","",IF(NOT(ISNUMBER($J175)),"",IF($J175&lt;=0,"OK - frota cobre a meta do dia",IF($J175&lt;=Parâmetros!$C$15,"ATENCAO - faltam "&amp;TEXT($J175,"0")&amp;" viagem(ns) de frota","CRITICO - faltam "&amp;TEXT($J175,"0")&amp;" viagens: acionar plano"))))</f>
        <v/>
      </c>
      <c r="L175" s="51"/>
      <c r="M175" s="51"/>
      <c r="N175" s="51"/>
      <c r="O175" s="50"/>
      <c r="P175" s="51"/>
      <c r="Q175" s="51"/>
      <c r="R175" s="55"/>
      <c r="S175" s="56"/>
      <c r="T175" s="56"/>
      <c r="U175" s="56"/>
      <c r="V175" s="19"/>
      <c r="W175" s="51"/>
      <c r="X175" s="57" t="str">
        <f t="shared" si="14"/>
        <v/>
      </c>
      <c r="Y175" s="57" t="str">
        <f t="shared" si="15"/>
        <v/>
      </c>
      <c r="Z175" s="57" t="str">
        <f t="shared" si="16"/>
        <v/>
      </c>
      <c r="AA175" s="58" t="str">
        <f t="shared" si="17"/>
        <v/>
      </c>
      <c r="AB175" s="58" t="str">
        <f t="shared" si="18"/>
        <v/>
      </c>
      <c r="AC175" s="57" t="str">
        <f t="shared" si="19"/>
        <v/>
      </c>
      <c r="AD175" s="59" t="str">
        <f t="shared" si="20"/>
        <v/>
      </c>
      <c r="AE175" s="54" t="str">
        <f>IF($B175="","",IF(NOT(ISNUMBER($AA175)),"Aguardando fechamento",IF($P175&gt;0,"ACAO: "&amp;TEXT($P175,"0")&amp;" carga(s) terceirizada(s) de forma evitavel",IF(IF(ISNUMBER($Z175),$Z175,0)&gt;IFERROR(INDEX(Parâmetros!$G$5:$G$10,MATCH($C175,Parâmetros!$B$5:$B$10,0)),""),"ALERTA: terceiros acima da meta",IF($AA175&gt;IFERROR(INDEX(Parâmetros!$D$5:$D$10,MATCH($C175,Parâmetros!$B$5:$B$10,0)),""),"ALERTA: custo/km acima da meta","OK - dentro das metas")))))</f>
        <v/>
      </c>
    </row>
    <row r="176" spans="2:31" ht="15" customHeight="1" x14ac:dyDescent="0.3">
      <c r="B176" s="48"/>
      <c r="C176" s="49"/>
      <c r="D176" s="50"/>
      <c r="E176" s="51"/>
      <c r="F176" s="52"/>
      <c r="G176" s="51"/>
      <c r="H176" s="51"/>
      <c r="I176" s="53" t="str">
        <f>IF($B176="","",IFERROR($G176*IFERROR(INDEX(Parâmetros!$C$5:$C$10,MATCH($C176,Parâmetros!$B$5:$B$10,0)),"")/Parâmetros!$C$13,""))</f>
        <v/>
      </c>
      <c r="J176" s="53" t="str">
        <f>IF($B176="","",IFERROR($E176*IFERROR(INDEX(Parâmetros!$E$5:$E$10,MATCH($C176,Parâmetros!$B$5:$B$10,0)),"")-$I176,""))</f>
        <v/>
      </c>
      <c r="K176" s="54" t="str">
        <f>IF($B176="","",IF(NOT(ISNUMBER($J176)),"",IF($J176&lt;=0,"OK - frota cobre a meta do dia",IF($J176&lt;=Parâmetros!$C$15,"ATENCAO - faltam "&amp;TEXT($J176,"0")&amp;" viagem(ns) de frota","CRITICO - faltam "&amp;TEXT($J176,"0")&amp;" viagens: acionar plano"))))</f>
        <v/>
      </c>
      <c r="L176" s="51"/>
      <c r="M176" s="51"/>
      <c r="N176" s="51"/>
      <c r="O176" s="50"/>
      <c r="P176" s="51"/>
      <c r="Q176" s="51"/>
      <c r="R176" s="55"/>
      <c r="S176" s="56"/>
      <c r="T176" s="56"/>
      <c r="U176" s="56"/>
      <c r="V176" s="19"/>
      <c r="W176" s="51"/>
      <c r="X176" s="57" t="str">
        <f t="shared" si="14"/>
        <v/>
      </c>
      <c r="Y176" s="57" t="str">
        <f t="shared" si="15"/>
        <v/>
      </c>
      <c r="Z176" s="57" t="str">
        <f t="shared" si="16"/>
        <v/>
      </c>
      <c r="AA176" s="58" t="str">
        <f t="shared" si="17"/>
        <v/>
      </c>
      <c r="AB176" s="58" t="str">
        <f t="shared" si="18"/>
        <v/>
      </c>
      <c r="AC176" s="57" t="str">
        <f t="shared" si="19"/>
        <v/>
      </c>
      <c r="AD176" s="59" t="str">
        <f t="shared" si="20"/>
        <v/>
      </c>
      <c r="AE176" s="54" t="str">
        <f>IF($B176="","",IF(NOT(ISNUMBER($AA176)),"Aguardando fechamento",IF($P176&gt;0,"ACAO: "&amp;TEXT($P176,"0")&amp;" carga(s) terceirizada(s) de forma evitavel",IF(IF(ISNUMBER($Z176),$Z176,0)&gt;IFERROR(INDEX(Parâmetros!$G$5:$G$10,MATCH($C176,Parâmetros!$B$5:$B$10,0)),""),"ALERTA: terceiros acima da meta",IF($AA176&gt;IFERROR(INDEX(Parâmetros!$D$5:$D$10,MATCH($C176,Parâmetros!$B$5:$B$10,0)),""),"ALERTA: custo/km acima da meta","OK - dentro das metas")))))</f>
        <v/>
      </c>
    </row>
    <row r="177" spans="2:31" ht="15" customHeight="1" x14ac:dyDescent="0.3">
      <c r="B177" s="48"/>
      <c r="C177" s="49"/>
      <c r="D177" s="50"/>
      <c r="E177" s="51"/>
      <c r="F177" s="52"/>
      <c r="G177" s="51"/>
      <c r="H177" s="51"/>
      <c r="I177" s="53" t="str">
        <f>IF($B177="","",IFERROR($G177*IFERROR(INDEX(Parâmetros!$C$5:$C$10,MATCH($C177,Parâmetros!$B$5:$B$10,0)),"")/Parâmetros!$C$13,""))</f>
        <v/>
      </c>
      <c r="J177" s="53" t="str">
        <f>IF($B177="","",IFERROR($E177*IFERROR(INDEX(Parâmetros!$E$5:$E$10,MATCH($C177,Parâmetros!$B$5:$B$10,0)),"")-$I177,""))</f>
        <v/>
      </c>
      <c r="K177" s="54" t="str">
        <f>IF($B177="","",IF(NOT(ISNUMBER($J177)),"",IF($J177&lt;=0,"OK - frota cobre a meta do dia",IF($J177&lt;=Parâmetros!$C$15,"ATENCAO - faltam "&amp;TEXT($J177,"0")&amp;" viagem(ns) de frota","CRITICO - faltam "&amp;TEXT($J177,"0")&amp;" viagens: acionar plano"))))</f>
        <v/>
      </c>
      <c r="L177" s="51"/>
      <c r="M177" s="51"/>
      <c r="N177" s="51"/>
      <c r="O177" s="50"/>
      <c r="P177" s="51"/>
      <c r="Q177" s="51"/>
      <c r="R177" s="55"/>
      <c r="S177" s="56"/>
      <c r="T177" s="56"/>
      <c r="U177" s="56"/>
      <c r="V177" s="19"/>
      <c r="W177" s="51"/>
      <c r="X177" s="57" t="str">
        <f t="shared" si="14"/>
        <v/>
      </c>
      <c r="Y177" s="57" t="str">
        <f t="shared" si="15"/>
        <v/>
      </c>
      <c r="Z177" s="57" t="str">
        <f t="shared" si="16"/>
        <v/>
      </c>
      <c r="AA177" s="58" t="str">
        <f t="shared" si="17"/>
        <v/>
      </c>
      <c r="AB177" s="58" t="str">
        <f t="shared" si="18"/>
        <v/>
      </c>
      <c r="AC177" s="57" t="str">
        <f t="shared" si="19"/>
        <v/>
      </c>
      <c r="AD177" s="59" t="str">
        <f t="shared" si="20"/>
        <v/>
      </c>
      <c r="AE177" s="54" t="str">
        <f>IF($B177="","",IF(NOT(ISNUMBER($AA177)),"Aguardando fechamento",IF($P177&gt;0,"ACAO: "&amp;TEXT($P177,"0")&amp;" carga(s) terceirizada(s) de forma evitavel",IF(IF(ISNUMBER($Z177),$Z177,0)&gt;IFERROR(INDEX(Parâmetros!$G$5:$G$10,MATCH($C177,Parâmetros!$B$5:$B$10,0)),""),"ALERTA: terceiros acima da meta",IF($AA177&gt;IFERROR(INDEX(Parâmetros!$D$5:$D$10,MATCH($C177,Parâmetros!$B$5:$B$10,0)),""),"ALERTA: custo/km acima da meta","OK - dentro das metas")))))</f>
        <v/>
      </c>
    </row>
    <row r="178" spans="2:31" ht="15" customHeight="1" x14ac:dyDescent="0.3">
      <c r="B178" s="48"/>
      <c r="C178" s="49"/>
      <c r="D178" s="50"/>
      <c r="E178" s="51"/>
      <c r="F178" s="52"/>
      <c r="G178" s="51"/>
      <c r="H178" s="51"/>
      <c r="I178" s="53" t="str">
        <f>IF($B178="","",IFERROR($G178*IFERROR(INDEX(Parâmetros!$C$5:$C$10,MATCH($C178,Parâmetros!$B$5:$B$10,0)),"")/Parâmetros!$C$13,""))</f>
        <v/>
      </c>
      <c r="J178" s="53" t="str">
        <f>IF($B178="","",IFERROR($E178*IFERROR(INDEX(Parâmetros!$E$5:$E$10,MATCH($C178,Parâmetros!$B$5:$B$10,0)),"")-$I178,""))</f>
        <v/>
      </c>
      <c r="K178" s="54" t="str">
        <f>IF($B178="","",IF(NOT(ISNUMBER($J178)),"",IF($J178&lt;=0,"OK - frota cobre a meta do dia",IF($J178&lt;=Parâmetros!$C$15,"ATENCAO - faltam "&amp;TEXT($J178,"0")&amp;" viagem(ns) de frota","CRITICO - faltam "&amp;TEXT($J178,"0")&amp;" viagens: acionar plano"))))</f>
        <v/>
      </c>
      <c r="L178" s="51"/>
      <c r="M178" s="51"/>
      <c r="N178" s="51"/>
      <c r="O178" s="50"/>
      <c r="P178" s="51"/>
      <c r="Q178" s="51"/>
      <c r="R178" s="55"/>
      <c r="S178" s="56"/>
      <c r="T178" s="56"/>
      <c r="U178" s="56"/>
      <c r="V178" s="19"/>
      <c r="W178" s="51"/>
      <c r="X178" s="57" t="str">
        <f t="shared" si="14"/>
        <v/>
      </c>
      <c r="Y178" s="57" t="str">
        <f t="shared" si="15"/>
        <v/>
      </c>
      <c r="Z178" s="57" t="str">
        <f t="shared" si="16"/>
        <v/>
      </c>
      <c r="AA178" s="58" t="str">
        <f t="shared" si="17"/>
        <v/>
      </c>
      <c r="AB178" s="58" t="str">
        <f t="shared" si="18"/>
        <v/>
      </c>
      <c r="AC178" s="57" t="str">
        <f t="shared" si="19"/>
        <v/>
      </c>
      <c r="AD178" s="59" t="str">
        <f t="shared" si="20"/>
        <v/>
      </c>
      <c r="AE178" s="54" t="str">
        <f>IF($B178="","",IF(NOT(ISNUMBER($AA178)),"Aguardando fechamento",IF($P178&gt;0,"ACAO: "&amp;TEXT($P178,"0")&amp;" carga(s) terceirizada(s) de forma evitavel",IF(IF(ISNUMBER($Z178),$Z178,0)&gt;IFERROR(INDEX(Parâmetros!$G$5:$G$10,MATCH($C178,Parâmetros!$B$5:$B$10,0)),""),"ALERTA: terceiros acima da meta",IF($AA178&gt;IFERROR(INDEX(Parâmetros!$D$5:$D$10,MATCH($C178,Parâmetros!$B$5:$B$10,0)),""),"ALERTA: custo/km acima da meta","OK - dentro das metas")))))</f>
        <v/>
      </c>
    </row>
    <row r="179" spans="2:31" ht="15" customHeight="1" x14ac:dyDescent="0.3">
      <c r="B179" s="48"/>
      <c r="C179" s="49"/>
      <c r="D179" s="50"/>
      <c r="E179" s="51"/>
      <c r="F179" s="52"/>
      <c r="G179" s="51"/>
      <c r="H179" s="51"/>
      <c r="I179" s="53" t="str">
        <f>IF($B179="","",IFERROR($G179*IFERROR(INDEX(Parâmetros!$C$5:$C$10,MATCH($C179,Parâmetros!$B$5:$B$10,0)),"")/Parâmetros!$C$13,""))</f>
        <v/>
      </c>
      <c r="J179" s="53" t="str">
        <f>IF($B179="","",IFERROR($E179*IFERROR(INDEX(Parâmetros!$E$5:$E$10,MATCH($C179,Parâmetros!$B$5:$B$10,0)),"")-$I179,""))</f>
        <v/>
      </c>
      <c r="K179" s="54" t="str">
        <f>IF($B179="","",IF(NOT(ISNUMBER($J179)),"",IF($J179&lt;=0,"OK - frota cobre a meta do dia",IF($J179&lt;=Parâmetros!$C$15,"ATENCAO - faltam "&amp;TEXT($J179,"0")&amp;" viagem(ns) de frota","CRITICO - faltam "&amp;TEXT($J179,"0")&amp;" viagens: acionar plano"))))</f>
        <v/>
      </c>
      <c r="L179" s="51"/>
      <c r="M179" s="51"/>
      <c r="N179" s="51"/>
      <c r="O179" s="50"/>
      <c r="P179" s="51"/>
      <c r="Q179" s="51"/>
      <c r="R179" s="55"/>
      <c r="S179" s="56"/>
      <c r="T179" s="56"/>
      <c r="U179" s="56"/>
      <c r="V179" s="19"/>
      <c r="W179" s="51"/>
      <c r="X179" s="57" t="str">
        <f t="shared" si="14"/>
        <v/>
      </c>
      <c r="Y179" s="57" t="str">
        <f t="shared" si="15"/>
        <v/>
      </c>
      <c r="Z179" s="57" t="str">
        <f t="shared" si="16"/>
        <v/>
      </c>
      <c r="AA179" s="58" t="str">
        <f t="shared" si="17"/>
        <v/>
      </c>
      <c r="AB179" s="58" t="str">
        <f t="shared" si="18"/>
        <v/>
      </c>
      <c r="AC179" s="57" t="str">
        <f t="shared" si="19"/>
        <v/>
      </c>
      <c r="AD179" s="59" t="str">
        <f t="shared" si="20"/>
        <v/>
      </c>
      <c r="AE179" s="54" t="str">
        <f>IF($B179="","",IF(NOT(ISNUMBER($AA179)),"Aguardando fechamento",IF($P179&gt;0,"ACAO: "&amp;TEXT($P179,"0")&amp;" carga(s) terceirizada(s) de forma evitavel",IF(IF(ISNUMBER($Z179),$Z179,0)&gt;IFERROR(INDEX(Parâmetros!$G$5:$G$10,MATCH($C179,Parâmetros!$B$5:$B$10,0)),""),"ALERTA: terceiros acima da meta",IF($AA179&gt;IFERROR(INDEX(Parâmetros!$D$5:$D$10,MATCH($C179,Parâmetros!$B$5:$B$10,0)),""),"ALERTA: custo/km acima da meta","OK - dentro das metas")))))</f>
        <v/>
      </c>
    </row>
    <row r="180" spans="2:31" ht="15" customHeight="1" x14ac:dyDescent="0.3">
      <c r="B180" s="48"/>
      <c r="C180" s="49"/>
      <c r="D180" s="50"/>
      <c r="E180" s="51"/>
      <c r="F180" s="52"/>
      <c r="G180" s="51"/>
      <c r="H180" s="51"/>
      <c r="I180" s="53" t="str">
        <f>IF($B180="","",IFERROR($G180*IFERROR(INDEX(Parâmetros!$C$5:$C$10,MATCH($C180,Parâmetros!$B$5:$B$10,0)),"")/Parâmetros!$C$13,""))</f>
        <v/>
      </c>
      <c r="J180" s="53" t="str">
        <f>IF($B180="","",IFERROR($E180*IFERROR(INDEX(Parâmetros!$E$5:$E$10,MATCH($C180,Parâmetros!$B$5:$B$10,0)),"")-$I180,""))</f>
        <v/>
      </c>
      <c r="K180" s="54" t="str">
        <f>IF($B180="","",IF(NOT(ISNUMBER($J180)),"",IF($J180&lt;=0,"OK - frota cobre a meta do dia",IF($J180&lt;=Parâmetros!$C$15,"ATENCAO - faltam "&amp;TEXT($J180,"0")&amp;" viagem(ns) de frota","CRITICO - faltam "&amp;TEXT($J180,"0")&amp;" viagens: acionar plano"))))</f>
        <v/>
      </c>
      <c r="L180" s="51"/>
      <c r="M180" s="51"/>
      <c r="N180" s="51"/>
      <c r="O180" s="50"/>
      <c r="P180" s="51"/>
      <c r="Q180" s="51"/>
      <c r="R180" s="55"/>
      <c r="S180" s="56"/>
      <c r="T180" s="56"/>
      <c r="U180" s="56"/>
      <c r="V180" s="19"/>
      <c r="W180" s="51"/>
      <c r="X180" s="57" t="str">
        <f t="shared" si="14"/>
        <v/>
      </c>
      <c r="Y180" s="57" t="str">
        <f t="shared" si="15"/>
        <v/>
      </c>
      <c r="Z180" s="57" t="str">
        <f t="shared" si="16"/>
        <v/>
      </c>
      <c r="AA180" s="58" t="str">
        <f t="shared" si="17"/>
        <v/>
      </c>
      <c r="AB180" s="58" t="str">
        <f t="shared" si="18"/>
        <v/>
      </c>
      <c r="AC180" s="57" t="str">
        <f t="shared" si="19"/>
        <v/>
      </c>
      <c r="AD180" s="59" t="str">
        <f t="shared" si="20"/>
        <v/>
      </c>
      <c r="AE180" s="54" t="str">
        <f>IF($B180="","",IF(NOT(ISNUMBER($AA180)),"Aguardando fechamento",IF($P180&gt;0,"ACAO: "&amp;TEXT($P180,"0")&amp;" carga(s) terceirizada(s) de forma evitavel",IF(IF(ISNUMBER($Z180),$Z180,0)&gt;IFERROR(INDEX(Parâmetros!$G$5:$G$10,MATCH($C180,Parâmetros!$B$5:$B$10,0)),""),"ALERTA: terceiros acima da meta",IF($AA180&gt;IFERROR(INDEX(Parâmetros!$D$5:$D$10,MATCH($C180,Parâmetros!$B$5:$B$10,0)),""),"ALERTA: custo/km acima da meta","OK - dentro das metas")))))</f>
        <v/>
      </c>
    </row>
    <row r="181" spans="2:31" ht="15" customHeight="1" x14ac:dyDescent="0.3">
      <c r="B181" s="48"/>
      <c r="C181" s="49"/>
      <c r="D181" s="50"/>
      <c r="E181" s="51"/>
      <c r="F181" s="52"/>
      <c r="G181" s="51"/>
      <c r="H181" s="51"/>
      <c r="I181" s="53" t="str">
        <f>IF($B181="","",IFERROR($G181*IFERROR(INDEX(Parâmetros!$C$5:$C$10,MATCH($C181,Parâmetros!$B$5:$B$10,0)),"")/Parâmetros!$C$13,""))</f>
        <v/>
      </c>
      <c r="J181" s="53" t="str">
        <f>IF($B181="","",IFERROR($E181*IFERROR(INDEX(Parâmetros!$E$5:$E$10,MATCH($C181,Parâmetros!$B$5:$B$10,0)),"")-$I181,""))</f>
        <v/>
      </c>
      <c r="K181" s="54" t="str">
        <f>IF($B181="","",IF(NOT(ISNUMBER($J181)),"",IF($J181&lt;=0,"OK - frota cobre a meta do dia",IF($J181&lt;=Parâmetros!$C$15,"ATENCAO - faltam "&amp;TEXT($J181,"0")&amp;" viagem(ns) de frota","CRITICO - faltam "&amp;TEXT($J181,"0")&amp;" viagens: acionar plano"))))</f>
        <v/>
      </c>
      <c r="L181" s="51"/>
      <c r="M181" s="51"/>
      <c r="N181" s="51"/>
      <c r="O181" s="50"/>
      <c r="P181" s="51"/>
      <c r="Q181" s="51"/>
      <c r="R181" s="55"/>
      <c r="S181" s="56"/>
      <c r="T181" s="56"/>
      <c r="U181" s="56"/>
      <c r="V181" s="19"/>
      <c r="W181" s="51"/>
      <c r="X181" s="57" t="str">
        <f t="shared" si="14"/>
        <v/>
      </c>
      <c r="Y181" s="57" t="str">
        <f t="shared" si="15"/>
        <v/>
      </c>
      <c r="Z181" s="57" t="str">
        <f t="shared" si="16"/>
        <v/>
      </c>
      <c r="AA181" s="58" t="str">
        <f t="shared" si="17"/>
        <v/>
      </c>
      <c r="AB181" s="58" t="str">
        <f t="shared" si="18"/>
        <v/>
      </c>
      <c r="AC181" s="57" t="str">
        <f t="shared" si="19"/>
        <v/>
      </c>
      <c r="AD181" s="59" t="str">
        <f t="shared" si="20"/>
        <v/>
      </c>
      <c r="AE181" s="54" t="str">
        <f>IF($B181="","",IF(NOT(ISNUMBER($AA181)),"Aguardando fechamento",IF($P181&gt;0,"ACAO: "&amp;TEXT($P181,"0")&amp;" carga(s) terceirizada(s) de forma evitavel",IF(IF(ISNUMBER($Z181),$Z181,0)&gt;IFERROR(INDEX(Parâmetros!$G$5:$G$10,MATCH($C181,Parâmetros!$B$5:$B$10,0)),""),"ALERTA: terceiros acima da meta",IF($AA181&gt;IFERROR(INDEX(Parâmetros!$D$5:$D$10,MATCH($C181,Parâmetros!$B$5:$B$10,0)),""),"ALERTA: custo/km acima da meta","OK - dentro das metas")))))</f>
        <v/>
      </c>
    </row>
    <row r="182" spans="2:31" ht="15" customHeight="1" x14ac:dyDescent="0.3">
      <c r="B182" s="48"/>
      <c r="C182" s="49"/>
      <c r="D182" s="50"/>
      <c r="E182" s="51"/>
      <c r="F182" s="52"/>
      <c r="G182" s="51"/>
      <c r="H182" s="51"/>
      <c r="I182" s="53" t="str">
        <f>IF($B182="","",IFERROR($G182*IFERROR(INDEX(Parâmetros!$C$5:$C$10,MATCH($C182,Parâmetros!$B$5:$B$10,0)),"")/Parâmetros!$C$13,""))</f>
        <v/>
      </c>
      <c r="J182" s="53" t="str">
        <f>IF($B182="","",IFERROR($E182*IFERROR(INDEX(Parâmetros!$E$5:$E$10,MATCH($C182,Parâmetros!$B$5:$B$10,0)),"")-$I182,""))</f>
        <v/>
      </c>
      <c r="K182" s="54" t="str">
        <f>IF($B182="","",IF(NOT(ISNUMBER($J182)),"",IF($J182&lt;=0,"OK - frota cobre a meta do dia",IF($J182&lt;=Parâmetros!$C$15,"ATENCAO - faltam "&amp;TEXT($J182,"0")&amp;" viagem(ns) de frota","CRITICO - faltam "&amp;TEXT($J182,"0")&amp;" viagens: acionar plano"))))</f>
        <v/>
      </c>
      <c r="L182" s="51"/>
      <c r="M182" s="51"/>
      <c r="N182" s="51"/>
      <c r="O182" s="50"/>
      <c r="P182" s="51"/>
      <c r="Q182" s="51"/>
      <c r="R182" s="55"/>
      <c r="S182" s="56"/>
      <c r="T182" s="56"/>
      <c r="U182" s="56"/>
      <c r="V182" s="19"/>
      <c r="W182" s="51"/>
      <c r="X182" s="57" t="str">
        <f t="shared" si="14"/>
        <v/>
      </c>
      <c r="Y182" s="57" t="str">
        <f t="shared" si="15"/>
        <v/>
      </c>
      <c r="Z182" s="57" t="str">
        <f t="shared" si="16"/>
        <v/>
      </c>
      <c r="AA182" s="58" t="str">
        <f t="shared" si="17"/>
        <v/>
      </c>
      <c r="AB182" s="58" t="str">
        <f t="shared" si="18"/>
        <v/>
      </c>
      <c r="AC182" s="57" t="str">
        <f t="shared" si="19"/>
        <v/>
      </c>
      <c r="AD182" s="59" t="str">
        <f t="shared" si="20"/>
        <v/>
      </c>
      <c r="AE182" s="54" t="str">
        <f>IF($B182="","",IF(NOT(ISNUMBER($AA182)),"Aguardando fechamento",IF($P182&gt;0,"ACAO: "&amp;TEXT($P182,"0")&amp;" carga(s) terceirizada(s) de forma evitavel",IF(IF(ISNUMBER($Z182),$Z182,0)&gt;IFERROR(INDEX(Parâmetros!$G$5:$G$10,MATCH($C182,Parâmetros!$B$5:$B$10,0)),""),"ALERTA: terceiros acima da meta",IF($AA182&gt;IFERROR(INDEX(Parâmetros!$D$5:$D$10,MATCH($C182,Parâmetros!$B$5:$B$10,0)),""),"ALERTA: custo/km acima da meta","OK - dentro das metas")))))</f>
        <v/>
      </c>
    </row>
    <row r="183" spans="2:31" ht="15" customHeight="1" x14ac:dyDescent="0.3">
      <c r="B183" s="48"/>
      <c r="C183" s="49"/>
      <c r="D183" s="50"/>
      <c r="E183" s="51"/>
      <c r="F183" s="52"/>
      <c r="G183" s="51"/>
      <c r="H183" s="51"/>
      <c r="I183" s="53" t="str">
        <f>IF($B183="","",IFERROR($G183*IFERROR(INDEX(Parâmetros!$C$5:$C$10,MATCH($C183,Parâmetros!$B$5:$B$10,0)),"")/Parâmetros!$C$13,""))</f>
        <v/>
      </c>
      <c r="J183" s="53" t="str">
        <f>IF($B183="","",IFERROR($E183*IFERROR(INDEX(Parâmetros!$E$5:$E$10,MATCH($C183,Parâmetros!$B$5:$B$10,0)),"")-$I183,""))</f>
        <v/>
      </c>
      <c r="K183" s="54" t="str">
        <f>IF($B183="","",IF(NOT(ISNUMBER($J183)),"",IF($J183&lt;=0,"OK - frota cobre a meta do dia",IF($J183&lt;=Parâmetros!$C$15,"ATENCAO - faltam "&amp;TEXT($J183,"0")&amp;" viagem(ns) de frota","CRITICO - faltam "&amp;TEXT($J183,"0")&amp;" viagens: acionar plano"))))</f>
        <v/>
      </c>
      <c r="L183" s="51"/>
      <c r="M183" s="51"/>
      <c r="N183" s="51"/>
      <c r="O183" s="50"/>
      <c r="P183" s="51"/>
      <c r="Q183" s="51"/>
      <c r="R183" s="55"/>
      <c r="S183" s="56"/>
      <c r="T183" s="56"/>
      <c r="U183" s="56"/>
      <c r="V183" s="19"/>
      <c r="W183" s="51"/>
      <c r="X183" s="57" t="str">
        <f t="shared" si="14"/>
        <v/>
      </c>
      <c r="Y183" s="57" t="str">
        <f t="shared" si="15"/>
        <v/>
      </c>
      <c r="Z183" s="57" t="str">
        <f t="shared" si="16"/>
        <v/>
      </c>
      <c r="AA183" s="58" t="str">
        <f t="shared" si="17"/>
        <v/>
      </c>
      <c r="AB183" s="58" t="str">
        <f t="shared" si="18"/>
        <v/>
      </c>
      <c r="AC183" s="57" t="str">
        <f t="shared" si="19"/>
        <v/>
      </c>
      <c r="AD183" s="59" t="str">
        <f t="shared" si="20"/>
        <v/>
      </c>
      <c r="AE183" s="54" t="str">
        <f>IF($B183="","",IF(NOT(ISNUMBER($AA183)),"Aguardando fechamento",IF($P183&gt;0,"ACAO: "&amp;TEXT($P183,"0")&amp;" carga(s) terceirizada(s) de forma evitavel",IF(IF(ISNUMBER($Z183),$Z183,0)&gt;IFERROR(INDEX(Parâmetros!$G$5:$G$10,MATCH($C183,Parâmetros!$B$5:$B$10,0)),""),"ALERTA: terceiros acima da meta",IF($AA183&gt;IFERROR(INDEX(Parâmetros!$D$5:$D$10,MATCH($C183,Parâmetros!$B$5:$B$10,0)),""),"ALERTA: custo/km acima da meta","OK - dentro das metas")))))</f>
        <v/>
      </c>
    </row>
    <row r="184" spans="2:31" ht="15" customHeight="1" x14ac:dyDescent="0.3">
      <c r="B184" s="48"/>
      <c r="C184" s="49"/>
      <c r="D184" s="50"/>
      <c r="E184" s="51"/>
      <c r="F184" s="52"/>
      <c r="G184" s="51"/>
      <c r="H184" s="51"/>
      <c r="I184" s="53" t="str">
        <f>IF($B184="","",IFERROR($G184*IFERROR(INDEX(Parâmetros!$C$5:$C$10,MATCH($C184,Parâmetros!$B$5:$B$10,0)),"")/Parâmetros!$C$13,""))</f>
        <v/>
      </c>
      <c r="J184" s="53" t="str">
        <f>IF($B184="","",IFERROR($E184*IFERROR(INDEX(Parâmetros!$E$5:$E$10,MATCH($C184,Parâmetros!$B$5:$B$10,0)),"")-$I184,""))</f>
        <v/>
      </c>
      <c r="K184" s="54" t="str">
        <f>IF($B184="","",IF(NOT(ISNUMBER($J184)),"",IF($J184&lt;=0,"OK - frota cobre a meta do dia",IF($J184&lt;=Parâmetros!$C$15,"ATENCAO - faltam "&amp;TEXT($J184,"0")&amp;" viagem(ns) de frota","CRITICO - faltam "&amp;TEXT($J184,"0")&amp;" viagens: acionar plano"))))</f>
        <v/>
      </c>
      <c r="L184" s="51"/>
      <c r="M184" s="51"/>
      <c r="N184" s="51"/>
      <c r="O184" s="50"/>
      <c r="P184" s="51"/>
      <c r="Q184" s="51"/>
      <c r="R184" s="55"/>
      <c r="S184" s="56"/>
      <c r="T184" s="56"/>
      <c r="U184" s="56"/>
      <c r="V184" s="19"/>
      <c r="W184" s="51"/>
      <c r="X184" s="57" t="str">
        <f t="shared" si="14"/>
        <v/>
      </c>
      <c r="Y184" s="57" t="str">
        <f t="shared" si="15"/>
        <v/>
      </c>
      <c r="Z184" s="57" t="str">
        <f t="shared" si="16"/>
        <v/>
      </c>
      <c r="AA184" s="58" t="str">
        <f t="shared" si="17"/>
        <v/>
      </c>
      <c r="AB184" s="58" t="str">
        <f t="shared" si="18"/>
        <v/>
      </c>
      <c r="AC184" s="57" t="str">
        <f t="shared" si="19"/>
        <v/>
      </c>
      <c r="AD184" s="59" t="str">
        <f t="shared" si="20"/>
        <v/>
      </c>
      <c r="AE184" s="54" t="str">
        <f>IF($B184="","",IF(NOT(ISNUMBER($AA184)),"Aguardando fechamento",IF($P184&gt;0,"ACAO: "&amp;TEXT($P184,"0")&amp;" carga(s) terceirizada(s) de forma evitavel",IF(IF(ISNUMBER($Z184),$Z184,0)&gt;IFERROR(INDEX(Parâmetros!$G$5:$G$10,MATCH($C184,Parâmetros!$B$5:$B$10,0)),""),"ALERTA: terceiros acima da meta",IF($AA184&gt;IFERROR(INDEX(Parâmetros!$D$5:$D$10,MATCH($C184,Parâmetros!$B$5:$B$10,0)),""),"ALERTA: custo/km acima da meta","OK - dentro das metas")))))</f>
        <v/>
      </c>
    </row>
    <row r="185" spans="2:31" ht="15" customHeight="1" x14ac:dyDescent="0.3">
      <c r="B185" s="48"/>
      <c r="C185" s="49"/>
      <c r="D185" s="50"/>
      <c r="E185" s="51"/>
      <c r="F185" s="52"/>
      <c r="G185" s="51"/>
      <c r="H185" s="51"/>
      <c r="I185" s="53" t="str">
        <f>IF($B185="","",IFERROR($G185*IFERROR(INDEX(Parâmetros!$C$5:$C$10,MATCH($C185,Parâmetros!$B$5:$B$10,0)),"")/Parâmetros!$C$13,""))</f>
        <v/>
      </c>
      <c r="J185" s="53" t="str">
        <f>IF($B185="","",IFERROR($E185*IFERROR(INDEX(Parâmetros!$E$5:$E$10,MATCH($C185,Parâmetros!$B$5:$B$10,0)),"")-$I185,""))</f>
        <v/>
      </c>
      <c r="K185" s="54" t="str">
        <f>IF($B185="","",IF(NOT(ISNUMBER($J185)),"",IF($J185&lt;=0,"OK - frota cobre a meta do dia",IF($J185&lt;=Parâmetros!$C$15,"ATENCAO - faltam "&amp;TEXT($J185,"0")&amp;" viagem(ns) de frota","CRITICO - faltam "&amp;TEXT($J185,"0")&amp;" viagens: acionar plano"))))</f>
        <v/>
      </c>
      <c r="L185" s="51"/>
      <c r="M185" s="51"/>
      <c r="N185" s="51"/>
      <c r="O185" s="50"/>
      <c r="P185" s="51"/>
      <c r="Q185" s="51"/>
      <c r="R185" s="55"/>
      <c r="S185" s="56"/>
      <c r="T185" s="56"/>
      <c r="U185" s="56"/>
      <c r="V185" s="19"/>
      <c r="W185" s="51"/>
      <c r="X185" s="57" t="str">
        <f t="shared" si="14"/>
        <v/>
      </c>
      <c r="Y185" s="57" t="str">
        <f t="shared" si="15"/>
        <v/>
      </c>
      <c r="Z185" s="57" t="str">
        <f t="shared" si="16"/>
        <v/>
      </c>
      <c r="AA185" s="58" t="str">
        <f t="shared" si="17"/>
        <v/>
      </c>
      <c r="AB185" s="58" t="str">
        <f t="shared" si="18"/>
        <v/>
      </c>
      <c r="AC185" s="57" t="str">
        <f t="shared" si="19"/>
        <v/>
      </c>
      <c r="AD185" s="59" t="str">
        <f t="shared" si="20"/>
        <v/>
      </c>
      <c r="AE185" s="54" t="str">
        <f>IF($B185="","",IF(NOT(ISNUMBER($AA185)),"Aguardando fechamento",IF($P185&gt;0,"ACAO: "&amp;TEXT($P185,"0")&amp;" carga(s) terceirizada(s) de forma evitavel",IF(IF(ISNUMBER($Z185),$Z185,0)&gt;IFERROR(INDEX(Parâmetros!$G$5:$G$10,MATCH($C185,Parâmetros!$B$5:$B$10,0)),""),"ALERTA: terceiros acima da meta",IF($AA185&gt;IFERROR(INDEX(Parâmetros!$D$5:$D$10,MATCH($C185,Parâmetros!$B$5:$B$10,0)),""),"ALERTA: custo/km acima da meta","OK - dentro das metas")))))</f>
        <v/>
      </c>
    </row>
    <row r="186" spans="2:31" ht="15" customHeight="1" x14ac:dyDescent="0.3">
      <c r="B186" s="48"/>
      <c r="C186" s="49"/>
      <c r="D186" s="50"/>
      <c r="E186" s="51"/>
      <c r="F186" s="52"/>
      <c r="G186" s="51"/>
      <c r="H186" s="51"/>
      <c r="I186" s="53" t="str">
        <f>IF($B186="","",IFERROR($G186*IFERROR(INDEX(Parâmetros!$C$5:$C$10,MATCH($C186,Parâmetros!$B$5:$B$10,0)),"")/Parâmetros!$C$13,""))</f>
        <v/>
      </c>
      <c r="J186" s="53" t="str">
        <f>IF($B186="","",IFERROR($E186*IFERROR(INDEX(Parâmetros!$E$5:$E$10,MATCH($C186,Parâmetros!$B$5:$B$10,0)),"")-$I186,""))</f>
        <v/>
      </c>
      <c r="K186" s="54" t="str">
        <f>IF($B186="","",IF(NOT(ISNUMBER($J186)),"",IF($J186&lt;=0,"OK - frota cobre a meta do dia",IF($J186&lt;=Parâmetros!$C$15,"ATENCAO - faltam "&amp;TEXT($J186,"0")&amp;" viagem(ns) de frota","CRITICO - faltam "&amp;TEXT($J186,"0")&amp;" viagens: acionar plano"))))</f>
        <v/>
      </c>
      <c r="L186" s="51"/>
      <c r="M186" s="51"/>
      <c r="N186" s="51"/>
      <c r="O186" s="50"/>
      <c r="P186" s="51"/>
      <c r="Q186" s="51"/>
      <c r="R186" s="55"/>
      <c r="S186" s="56"/>
      <c r="T186" s="56"/>
      <c r="U186" s="56"/>
      <c r="V186" s="19"/>
      <c r="W186" s="51"/>
      <c r="X186" s="57" t="str">
        <f t="shared" si="14"/>
        <v/>
      </c>
      <c r="Y186" s="57" t="str">
        <f t="shared" si="15"/>
        <v/>
      </c>
      <c r="Z186" s="57" t="str">
        <f t="shared" si="16"/>
        <v/>
      </c>
      <c r="AA186" s="58" t="str">
        <f t="shared" si="17"/>
        <v/>
      </c>
      <c r="AB186" s="58" t="str">
        <f t="shared" si="18"/>
        <v/>
      </c>
      <c r="AC186" s="57" t="str">
        <f t="shared" si="19"/>
        <v/>
      </c>
      <c r="AD186" s="59" t="str">
        <f t="shared" si="20"/>
        <v/>
      </c>
      <c r="AE186" s="54" t="str">
        <f>IF($B186="","",IF(NOT(ISNUMBER($AA186)),"Aguardando fechamento",IF($P186&gt;0,"ACAO: "&amp;TEXT($P186,"0")&amp;" carga(s) terceirizada(s) de forma evitavel",IF(IF(ISNUMBER($Z186),$Z186,0)&gt;IFERROR(INDEX(Parâmetros!$G$5:$G$10,MATCH($C186,Parâmetros!$B$5:$B$10,0)),""),"ALERTA: terceiros acima da meta",IF($AA186&gt;IFERROR(INDEX(Parâmetros!$D$5:$D$10,MATCH($C186,Parâmetros!$B$5:$B$10,0)),""),"ALERTA: custo/km acima da meta","OK - dentro das metas")))))</f>
        <v/>
      </c>
    </row>
    <row r="187" spans="2:31" ht="15" customHeight="1" x14ac:dyDescent="0.3">
      <c r="B187" s="48"/>
      <c r="C187" s="49"/>
      <c r="D187" s="50"/>
      <c r="E187" s="51"/>
      <c r="F187" s="52"/>
      <c r="G187" s="51"/>
      <c r="H187" s="51"/>
      <c r="I187" s="53" t="str">
        <f>IF($B187="","",IFERROR($G187*IFERROR(INDEX(Parâmetros!$C$5:$C$10,MATCH($C187,Parâmetros!$B$5:$B$10,0)),"")/Parâmetros!$C$13,""))</f>
        <v/>
      </c>
      <c r="J187" s="53" t="str">
        <f>IF($B187="","",IFERROR($E187*IFERROR(INDEX(Parâmetros!$E$5:$E$10,MATCH($C187,Parâmetros!$B$5:$B$10,0)),"")-$I187,""))</f>
        <v/>
      </c>
      <c r="K187" s="54" t="str">
        <f>IF($B187="","",IF(NOT(ISNUMBER($J187)),"",IF($J187&lt;=0,"OK - frota cobre a meta do dia",IF($J187&lt;=Parâmetros!$C$15,"ATENCAO - faltam "&amp;TEXT($J187,"0")&amp;" viagem(ns) de frota","CRITICO - faltam "&amp;TEXT($J187,"0")&amp;" viagens: acionar plano"))))</f>
        <v/>
      </c>
      <c r="L187" s="51"/>
      <c r="M187" s="51"/>
      <c r="N187" s="51"/>
      <c r="O187" s="50"/>
      <c r="P187" s="51"/>
      <c r="Q187" s="51"/>
      <c r="R187" s="55"/>
      <c r="S187" s="56"/>
      <c r="T187" s="56"/>
      <c r="U187" s="56"/>
      <c r="V187" s="19"/>
      <c r="W187" s="51"/>
      <c r="X187" s="57" t="str">
        <f t="shared" si="14"/>
        <v/>
      </c>
      <c r="Y187" s="57" t="str">
        <f t="shared" si="15"/>
        <v/>
      </c>
      <c r="Z187" s="57" t="str">
        <f t="shared" si="16"/>
        <v/>
      </c>
      <c r="AA187" s="58" t="str">
        <f t="shared" si="17"/>
        <v/>
      </c>
      <c r="AB187" s="58" t="str">
        <f t="shared" si="18"/>
        <v/>
      </c>
      <c r="AC187" s="57" t="str">
        <f t="shared" si="19"/>
        <v/>
      </c>
      <c r="AD187" s="59" t="str">
        <f t="shared" si="20"/>
        <v/>
      </c>
      <c r="AE187" s="54" t="str">
        <f>IF($B187="","",IF(NOT(ISNUMBER($AA187)),"Aguardando fechamento",IF($P187&gt;0,"ACAO: "&amp;TEXT($P187,"0")&amp;" carga(s) terceirizada(s) de forma evitavel",IF(IF(ISNUMBER($Z187),$Z187,0)&gt;IFERROR(INDEX(Parâmetros!$G$5:$G$10,MATCH($C187,Parâmetros!$B$5:$B$10,0)),""),"ALERTA: terceiros acima da meta",IF($AA187&gt;IFERROR(INDEX(Parâmetros!$D$5:$D$10,MATCH($C187,Parâmetros!$B$5:$B$10,0)),""),"ALERTA: custo/km acima da meta","OK - dentro das metas")))))</f>
        <v/>
      </c>
    </row>
    <row r="188" spans="2:31" ht="15" customHeight="1" x14ac:dyDescent="0.3">
      <c r="B188" s="48"/>
      <c r="C188" s="49"/>
      <c r="D188" s="50"/>
      <c r="E188" s="51"/>
      <c r="F188" s="52"/>
      <c r="G188" s="51"/>
      <c r="H188" s="51"/>
      <c r="I188" s="53" t="str">
        <f>IF($B188="","",IFERROR($G188*IFERROR(INDEX(Parâmetros!$C$5:$C$10,MATCH($C188,Parâmetros!$B$5:$B$10,0)),"")/Parâmetros!$C$13,""))</f>
        <v/>
      </c>
      <c r="J188" s="53" t="str">
        <f>IF($B188="","",IFERROR($E188*IFERROR(INDEX(Parâmetros!$E$5:$E$10,MATCH($C188,Parâmetros!$B$5:$B$10,0)),"")-$I188,""))</f>
        <v/>
      </c>
      <c r="K188" s="54" t="str">
        <f>IF($B188="","",IF(NOT(ISNUMBER($J188)),"",IF($J188&lt;=0,"OK - frota cobre a meta do dia",IF($J188&lt;=Parâmetros!$C$15,"ATENCAO - faltam "&amp;TEXT($J188,"0")&amp;" viagem(ns) de frota","CRITICO - faltam "&amp;TEXT($J188,"0")&amp;" viagens: acionar plano"))))</f>
        <v/>
      </c>
      <c r="L188" s="51"/>
      <c r="M188" s="51"/>
      <c r="N188" s="51"/>
      <c r="O188" s="50"/>
      <c r="P188" s="51"/>
      <c r="Q188" s="51"/>
      <c r="R188" s="55"/>
      <c r="S188" s="56"/>
      <c r="T188" s="56"/>
      <c r="U188" s="56"/>
      <c r="V188" s="19"/>
      <c r="W188" s="51"/>
      <c r="X188" s="57" t="str">
        <f t="shared" si="14"/>
        <v/>
      </c>
      <c r="Y188" s="57" t="str">
        <f t="shared" si="15"/>
        <v/>
      </c>
      <c r="Z188" s="57" t="str">
        <f t="shared" si="16"/>
        <v/>
      </c>
      <c r="AA188" s="58" t="str">
        <f t="shared" si="17"/>
        <v/>
      </c>
      <c r="AB188" s="58" t="str">
        <f t="shared" si="18"/>
        <v/>
      </c>
      <c r="AC188" s="57" t="str">
        <f t="shared" si="19"/>
        <v/>
      </c>
      <c r="AD188" s="59" t="str">
        <f t="shared" si="20"/>
        <v/>
      </c>
      <c r="AE188" s="54" t="str">
        <f>IF($B188="","",IF(NOT(ISNUMBER($AA188)),"Aguardando fechamento",IF($P188&gt;0,"ACAO: "&amp;TEXT($P188,"0")&amp;" carga(s) terceirizada(s) de forma evitavel",IF(IF(ISNUMBER($Z188),$Z188,0)&gt;IFERROR(INDEX(Parâmetros!$G$5:$G$10,MATCH($C188,Parâmetros!$B$5:$B$10,0)),""),"ALERTA: terceiros acima da meta",IF($AA188&gt;IFERROR(INDEX(Parâmetros!$D$5:$D$10,MATCH($C188,Parâmetros!$B$5:$B$10,0)),""),"ALERTA: custo/km acima da meta","OK - dentro das metas")))))</f>
        <v/>
      </c>
    </row>
    <row r="189" spans="2:31" ht="15" customHeight="1" x14ac:dyDescent="0.3">
      <c r="B189" s="48"/>
      <c r="C189" s="49"/>
      <c r="D189" s="50"/>
      <c r="E189" s="51"/>
      <c r="F189" s="52"/>
      <c r="G189" s="51"/>
      <c r="H189" s="51"/>
      <c r="I189" s="53" t="str">
        <f>IF($B189="","",IFERROR($G189*IFERROR(INDEX(Parâmetros!$C$5:$C$10,MATCH($C189,Parâmetros!$B$5:$B$10,0)),"")/Parâmetros!$C$13,""))</f>
        <v/>
      </c>
      <c r="J189" s="53" t="str">
        <f>IF($B189="","",IFERROR($E189*IFERROR(INDEX(Parâmetros!$E$5:$E$10,MATCH($C189,Parâmetros!$B$5:$B$10,0)),"")-$I189,""))</f>
        <v/>
      </c>
      <c r="K189" s="54" t="str">
        <f>IF($B189="","",IF(NOT(ISNUMBER($J189)),"",IF($J189&lt;=0,"OK - frota cobre a meta do dia",IF($J189&lt;=Parâmetros!$C$15,"ATENCAO - faltam "&amp;TEXT($J189,"0")&amp;" viagem(ns) de frota","CRITICO - faltam "&amp;TEXT($J189,"0")&amp;" viagens: acionar plano"))))</f>
        <v/>
      </c>
      <c r="L189" s="51"/>
      <c r="M189" s="51"/>
      <c r="N189" s="51"/>
      <c r="O189" s="50"/>
      <c r="P189" s="51"/>
      <c r="Q189" s="51"/>
      <c r="R189" s="55"/>
      <c r="S189" s="56"/>
      <c r="T189" s="56"/>
      <c r="U189" s="56"/>
      <c r="V189" s="19"/>
      <c r="W189" s="51"/>
      <c r="X189" s="57" t="str">
        <f t="shared" si="14"/>
        <v/>
      </c>
      <c r="Y189" s="57" t="str">
        <f t="shared" si="15"/>
        <v/>
      </c>
      <c r="Z189" s="57" t="str">
        <f t="shared" si="16"/>
        <v/>
      </c>
      <c r="AA189" s="58" t="str">
        <f t="shared" si="17"/>
        <v/>
      </c>
      <c r="AB189" s="58" t="str">
        <f t="shared" si="18"/>
        <v/>
      </c>
      <c r="AC189" s="57" t="str">
        <f t="shared" si="19"/>
        <v/>
      </c>
      <c r="AD189" s="59" t="str">
        <f t="shared" si="20"/>
        <v/>
      </c>
      <c r="AE189" s="54" t="str">
        <f>IF($B189="","",IF(NOT(ISNUMBER($AA189)),"Aguardando fechamento",IF($P189&gt;0,"ACAO: "&amp;TEXT($P189,"0")&amp;" carga(s) terceirizada(s) de forma evitavel",IF(IF(ISNUMBER($Z189),$Z189,0)&gt;IFERROR(INDEX(Parâmetros!$G$5:$G$10,MATCH($C189,Parâmetros!$B$5:$B$10,0)),""),"ALERTA: terceiros acima da meta",IF($AA189&gt;IFERROR(INDEX(Parâmetros!$D$5:$D$10,MATCH($C189,Parâmetros!$B$5:$B$10,0)),""),"ALERTA: custo/km acima da meta","OK - dentro das metas")))))</f>
        <v/>
      </c>
    </row>
    <row r="190" spans="2:31" ht="15" customHeight="1" x14ac:dyDescent="0.3">
      <c r="B190" s="48"/>
      <c r="C190" s="49"/>
      <c r="D190" s="50"/>
      <c r="E190" s="51"/>
      <c r="F190" s="52"/>
      <c r="G190" s="51"/>
      <c r="H190" s="51"/>
      <c r="I190" s="53" t="str">
        <f>IF($B190="","",IFERROR($G190*IFERROR(INDEX(Parâmetros!$C$5:$C$10,MATCH($C190,Parâmetros!$B$5:$B$10,0)),"")/Parâmetros!$C$13,""))</f>
        <v/>
      </c>
      <c r="J190" s="53" t="str">
        <f>IF($B190="","",IFERROR($E190*IFERROR(INDEX(Parâmetros!$E$5:$E$10,MATCH($C190,Parâmetros!$B$5:$B$10,0)),"")-$I190,""))</f>
        <v/>
      </c>
      <c r="K190" s="54" t="str">
        <f>IF($B190="","",IF(NOT(ISNUMBER($J190)),"",IF($J190&lt;=0,"OK - frota cobre a meta do dia",IF($J190&lt;=Parâmetros!$C$15,"ATENCAO - faltam "&amp;TEXT($J190,"0")&amp;" viagem(ns) de frota","CRITICO - faltam "&amp;TEXT($J190,"0")&amp;" viagens: acionar plano"))))</f>
        <v/>
      </c>
      <c r="L190" s="51"/>
      <c r="M190" s="51"/>
      <c r="N190" s="51"/>
      <c r="O190" s="50"/>
      <c r="P190" s="51"/>
      <c r="Q190" s="51"/>
      <c r="R190" s="55"/>
      <c r="S190" s="56"/>
      <c r="T190" s="56"/>
      <c r="U190" s="56"/>
      <c r="V190" s="19"/>
      <c r="W190" s="51"/>
      <c r="X190" s="57" t="str">
        <f t="shared" si="14"/>
        <v/>
      </c>
      <c r="Y190" s="57" t="str">
        <f t="shared" si="15"/>
        <v/>
      </c>
      <c r="Z190" s="57" t="str">
        <f t="shared" si="16"/>
        <v/>
      </c>
      <c r="AA190" s="58" t="str">
        <f t="shared" si="17"/>
        <v/>
      </c>
      <c r="AB190" s="58" t="str">
        <f t="shared" si="18"/>
        <v/>
      </c>
      <c r="AC190" s="57" t="str">
        <f t="shared" si="19"/>
        <v/>
      </c>
      <c r="AD190" s="59" t="str">
        <f t="shared" si="20"/>
        <v/>
      </c>
      <c r="AE190" s="54" t="str">
        <f>IF($B190="","",IF(NOT(ISNUMBER($AA190)),"Aguardando fechamento",IF($P190&gt;0,"ACAO: "&amp;TEXT($P190,"0")&amp;" carga(s) terceirizada(s) de forma evitavel",IF(IF(ISNUMBER($Z190),$Z190,0)&gt;IFERROR(INDEX(Parâmetros!$G$5:$G$10,MATCH($C190,Parâmetros!$B$5:$B$10,0)),""),"ALERTA: terceiros acima da meta",IF($AA190&gt;IFERROR(INDEX(Parâmetros!$D$5:$D$10,MATCH($C190,Parâmetros!$B$5:$B$10,0)),""),"ALERTA: custo/km acima da meta","OK - dentro das metas")))))</f>
        <v/>
      </c>
    </row>
    <row r="191" spans="2:31" ht="15" customHeight="1" x14ac:dyDescent="0.3">
      <c r="B191" s="48"/>
      <c r="C191" s="49"/>
      <c r="D191" s="50"/>
      <c r="E191" s="51"/>
      <c r="F191" s="52"/>
      <c r="G191" s="51"/>
      <c r="H191" s="51"/>
      <c r="I191" s="53" t="str">
        <f>IF($B191="","",IFERROR($G191*IFERROR(INDEX(Parâmetros!$C$5:$C$10,MATCH($C191,Parâmetros!$B$5:$B$10,0)),"")/Parâmetros!$C$13,""))</f>
        <v/>
      </c>
      <c r="J191" s="53" t="str">
        <f>IF($B191="","",IFERROR($E191*IFERROR(INDEX(Parâmetros!$E$5:$E$10,MATCH($C191,Parâmetros!$B$5:$B$10,0)),"")-$I191,""))</f>
        <v/>
      </c>
      <c r="K191" s="54" t="str">
        <f>IF($B191="","",IF(NOT(ISNUMBER($J191)),"",IF($J191&lt;=0,"OK - frota cobre a meta do dia",IF($J191&lt;=Parâmetros!$C$15,"ATENCAO - faltam "&amp;TEXT($J191,"0")&amp;" viagem(ns) de frota","CRITICO - faltam "&amp;TEXT($J191,"0")&amp;" viagens: acionar plano"))))</f>
        <v/>
      </c>
      <c r="L191" s="51"/>
      <c r="M191" s="51"/>
      <c r="N191" s="51"/>
      <c r="O191" s="50"/>
      <c r="P191" s="51"/>
      <c r="Q191" s="51"/>
      <c r="R191" s="55"/>
      <c r="S191" s="56"/>
      <c r="T191" s="56"/>
      <c r="U191" s="56"/>
      <c r="V191" s="19"/>
      <c r="W191" s="51"/>
      <c r="X191" s="57" t="str">
        <f t="shared" si="14"/>
        <v/>
      </c>
      <c r="Y191" s="57" t="str">
        <f t="shared" si="15"/>
        <v/>
      </c>
      <c r="Z191" s="57" t="str">
        <f t="shared" si="16"/>
        <v/>
      </c>
      <c r="AA191" s="58" t="str">
        <f t="shared" si="17"/>
        <v/>
      </c>
      <c r="AB191" s="58" t="str">
        <f t="shared" si="18"/>
        <v/>
      </c>
      <c r="AC191" s="57" t="str">
        <f t="shared" si="19"/>
        <v/>
      </c>
      <c r="AD191" s="59" t="str">
        <f t="shared" si="20"/>
        <v/>
      </c>
      <c r="AE191" s="54" t="str">
        <f>IF($B191="","",IF(NOT(ISNUMBER($AA191)),"Aguardando fechamento",IF($P191&gt;0,"ACAO: "&amp;TEXT($P191,"0")&amp;" carga(s) terceirizada(s) de forma evitavel",IF(IF(ISNUMBER($Z191),$Z191,0)&gt;IFERROR(INDEX(Parâmetros!$G$5:$G$10,MATCH($C191,Parâmetros!$B$5:$B$10,0)),""),"ALERTA: terceiros acima da meta",IF($AA191&gt;IFERROR(INDEX(Parâmetros!$D$5:$D$10,MATCH($C191,Parâmetros!$B$5:$B$10,0)),""),"ALERTA: custo/km acima da meta","OK - dentro das metas")))))</f>
        <v/>
      </c>
    </row>
    <row r="192" spans="2:31" ht="15" customHeight="1" x14ac:dyDescent="0.3">
      <c r="B192" s="48"/>
      <c r="C192" s="49"/>
      <c r="D192" s="50"/>
      <c r="E192" s="51"/>
      <c r="F192" s="52"/>
      <c r="G192" s="51"/>
      <c r="H192" s="51"/>
      <c r="I192" s="53" t="str">
        <f>IF($B192="","",IFERROR($G192*IFERROR(INDEX(Parâmetros!$C$5:$C$10,MATCH($C192,Parâmetros!$B$5:$B$10,0)),"")/Parâmetros!$C$13,""))</f>
        <v/>
      </c>
      <c r="J192" s="53" t="str">
        <f>IF($B192="","",IFERROR($E192*IFERROR(INDEX(Parâmetros!$E$5:$E$10,MATCH($C192,Parâmetros!$B$5:$B$10,0)),"")-$I192,""))</f>
        <v/>
      </c>
      <c r="K192" s="54" t="str">
        <f>IF($B192="","",IF(NOT(ISNUMBER($J192)),"",IF($J192&lt;=0,"OK - frota cobre a meta do dia",IF($J192&lt;=Parâmetros!$C$15,"ATENCAO - faltam "&amp;TEXT($J192,"0")&amp;" viagem(ns) de frota","CRITICO - faltam "&amp;TEXT($J192,"0")&amp;" viagens: acionar plano"))))</f>
        <v/>
      </c>
      <c r="L192" s="51"/>
      <c r="M192" s="51"/>
      <c r="N192" s="51"/>
      <c r="O192" s="50"/>
      <c r="P192" s="51"/>
      <c r="Q192" s="51"/>
      <c r="R192" s="55"/>
      <c r="S192" s="56"/>
      <c r="T192" s="56"/>
      <c r="U192" s="56"/>
      <c r="V192" s="19"/>
      <c r="W192" s="51"/>
      <c r="X192" s="57" t="str">
        <f t="shared" si="14"/>
        <v/>
      </c>
      <c r="Y192" s="57" t="str">
        <f t="shared" si="15"/>
        <v/>
      </c>
      <c r="Z192" s="57" t="str">
        <f t="shared" si="16"/>
        <v/>
      </c>
      <c r="AA192" s="58" t="str">
        <f t="shared" si="17"/>
        <v/>
      </c>
      <c r="AB192" s="58" t="str">
        <f t="shared" si="18"/>
        <v/>
      </c>
      <c r="AC192" s="57" t="str">
        <f t="shared" si="19"/>
        <v/>
      </c>
      <c r="AD192" s="59" t="str">
        <f t="shared" si="20"/>
        <v/>
      </c>
      <c r="AE192" s="54" t="str">
        <f>IF($B192="","",IF(NOT(ISNUMBER($AA192)),"Aguardando fechamento",IF($P192&gt;0,"ACAO: "&amp;TEXT($P192,"0")&amp;" carga(s) terceirizada(s) de forma evitavel",IF(IF(ISNUMBER($Z192),$Z192,0)&gt;IFERROR(INDEX(Parâmetros!$G$5:$G$10,MATCH($C192,Parâmetros!$B$5:$B$10,0)),""),"ALERTA: terceiros acima da meta",IF($AA192&gt;IFERROR(INDEX(Parâmetros!$D$5:$D$10,MATCH($C192,Parâmetros!$B$5:$B$10,0)),""),"ALERTA: custo/km acima da meta","OK - dentro das metas")))))</f>
        <v/>
      </c>
    </row>
    <row r="193" spans="2:31" ht="15" customHeight="1" x14ac:dyDescent="0.3">
      <c r="B193" s="48"/>
      <c r="C193" s="49"/>
      <c r="D193" s="50"/>
      <c r="E193" s="51"/>
      <c r="F193" s="52"/>
      <c r="G193" s="51"/>
      <c r="H193" s="51"/>
      <c r="I193" s="53" t="str">
        <f>IF($B193="","",IFERROR($G193*IFERROR(INDEX(Parâmetros!$C$5:$C$10,MATCH($C193,Parâmetros!$B$5:$B$10,0)),"")/Parâmetros!$C$13,""))</f>
        <v/>
      </c>
      <c r="J193" s="53" t="str">
        <f>IF($B193="","",IFERROR($E193*IFERROR(INDEX(Parâmetros!$E$5:$E$10,MATCH($C193,Parâmetros!$B$5:$B$10,0)),"")-$I193,""))</f>
        <v/>
      </c>
      <c r="K193" s="54" t="str">
        <f>IF($B193="","",IF(NOT(ISNUMBER($J193)),"",IF($J193&lt;=0,"OK - frota cobre a meta do dia",IF($J193&lt;=Parâmetros!$C$15,"ATENCAO - faltam "&amp;TEXT($J193,"0")&amp;" viagem(ns) de frota","CRITICO - faltam "&amp;TEXT($J193,"0")&amp;" viagens: acionar plano"))))</f>
        <v/>
      </c>
      <c r="L193" s="51"/>
      <c r="M193" s="51"/>
      <c r="N193" s="51"/>
      <c r="O193" s="50"/>
      <c r="P193" s="51"/>
      <c r="Q193" s="51"/>
      <c r="R193" s="55"/>
      <c r="S193" s="56"/>
      <c r="T193" s="56"/>
      <c r="U193" s="56"/>
      <c r="V193" s="19"/>
      <c r="W193" s="51"/>
      <c r="X193" s="57" t="str">
        <f t="shared" si="14"/>
        <v/>
      </c>
      <c r="Y193" s="57" t="str">
        <f t="shared" si="15"/>
        <v/>
      </c>
      <c r="Z193" s="57" t="str">
        <f t="shared" si="16"/>
        <v/>
      </c>
      <c r="AA193" s="58" t="str">
        <f t="shared" si="17"/>
        <v/>
      </c>
      <c r="AB193" s="58" t="str">
        <f t="shared" si="18"/>
        <v/>
      </c>
      <c r="AC193" s="57" t="str">
        <f t="shared" si="19"/>
        <v/>
      </c>
      <c r="AD193" s="59" t="str">
        <f t="shared" si="20"/>
        <v/>
      </c>
      <c r="AE193" s="54" t="str">
        <f>IF($B193="","",IF(NOT(ISNUMBER($AA193)),"Aguardando fechamento",IF($P193&gt;0,"ACAO: "&amp;TEXT($P193,"0")&amp;" carga(s) terceirizada(s) de forma evitavel",IF(IF(ISNUMBER($Z193),$Z193,0)&gt;IFERROR(INDEX(Parâmetros!$G$5:$G$10,MATCH($C193,Parâmetros!$B$5:$B$10,0)),""),"ALERTA: terceiros acima da meta",IF($AA193&gt;IFERROR(INDEX(Parâmetros!$D$5:$D$10,MATCH($C193,Parâmetros!$B$5:$B$10,0)),""),"ALERTA: custo/km acima da meta","OK - dentro das metas")))))</f>
        <v/>
      </c>
    </row>
    <row r="194" spans="2:31" ht="15" customHeight="1" x14ac:dyDescent="0.3">
      <c r="B194" s="48"/>
      <c r="C194" s="49"/>
      <c r="D194" s="50"/>
      <c r="E194" s="51"/>
      <c r="F194" s="52"/>
      <c r="G194" s="51"/>
      <c r="H194" s="51"/>
      <c r="I194" s="53" t="str">
        <f>IF($B194="","",IFERROR($G194*IFERROR(INDEX(Parâmetros!$C$5:$C$10,MATCH($C194,Parâmetros!$B$5:$B$10,0)),"")/Parâmetros!$C$13,""))</f>
        <v/>
      </c>
      <c r="J194" s="53" t="str">
        <f>IF($B194="","",IFERROR($E194*IFERROR(INDEX(Parâmetros!$E$5:$E$10,MATCH($C194,Parâmetros!$B$5:$B$10,0)),"")-$I194,""))</f>
        <v/>
      </c>
      <c r="K194" s="54" t="str">
        <f>IF($B194="","",IF(NOT(ISNUMBER($J194)),"",IF($J194&lt;=0,"OK - frota cobre a meta do dia",IF($J194&lt;=Parâmetros!$C$15,"ATENCAO - faltam "&amp;TEXT($J194,"0")&amp;" viagem(ns) de frota","CRITICO - faltam "&amp;TEXT($J194,"0")&amp;" viagens: acionar plano"))))</f>
        <v/>
      </c>
      <c r="L194" s="51"/>
      <c r="M194" s="51"/>
      <c r="N194" s="51"/>
      <c r="O194" s="50"/>
      <c r="P194" s="51"/>
      <c r="Q194" s="51"/>
      <c r="R194" s="55"/>
      <c r="S194" s="56"/>
      <c r="T194" s="56"/>
      <c r="U194" s="56"/>
      <c r="V194" s="19"/>
      <c r="W194" s="51"/>
      <c r="X194" s="57" t="str">
        <f t="shared" si="14"/>
        <v/>
      </c>
      <c r="Y194" s="57" t="str">
        <f t="shared" si="15"/>
        <v/>
      </c>
      <c r="Z194" s="57" t="str">
        <f t="shared" si="16"/>
        <v/>
      </c>
      <c r="AA194" s="58" t="str">
        <f t="shared" si="17"/>
        <v/>
      </c>
      <c r="AB194" s="58" t="str">
        <f t="shared" si="18"/>
        <v/>
      </c>
      <c r="AC194" s="57" t="str">
        <f t="shared" si="19"/>
        <v/>
      </c>
      <c r="AD194" s="59" t="str">
        <f t="shared" si="20"/>
        <v/>
      </c>
      <c r="AE194" s="54" t="str">
        <f>IF($B194="","",IF(NOT(ISNUMBER($AA194)),"Aguardando fechamento",IF($P194&gt;0,"ACAO: "&amp;TEXT($P194,"0")&amp;" carga(s) terceirizada(s) de forma evitavel",IF(IF(ISNUMBER($Z194),$Z194,0)&gt;IFERROR(INDEX(Parâmetros!$G$5:$G$10,MATCH($C194,Parâmetros!$B$5:$B$10,0)),""),"ALERTA: terceiros acima da meta",IF($AA194&gt;IFERROR(INDEX(Parâmetros!$D$5:$D$10,MATCH($C194,Parâmetros!$B$5:$B$10,0)),""),"ALERTA: custo/km acima da meta","OK - dentro das metas")))))</f>
        <v/>
      </c>
    </row>
    <row r="195" spans="2:31" ht="15" customHeight="1" x14ac:dyDescent="0.3">
      <c r="B195" s="48"/>
      <c r="C195" s="49"/>
      <c r="D195" s="50"/>
      <c r="E195" s="51"/>
      <c r="F195" s="52"/>
      <c r="G195" s="51"/>
      <c r="H195" s="51"/>
      <c r="I195" s="53" t="str">
        <f>IF($B195="","",IFERROR($G195*IFERROR(INDEX(Parâmetros!$C$5:$C$10,MATCH($C195,Parâmetros!$B$5:$B$10,0)),"")/Parâmetros!$C$13,""))</f>
        <v/>
      </c>
      <c r="J195" s="53" t="str">
        <f>IF($B195="","",IFERROR($E195*IFERROR(INDEX(Parâmetros!$E$5:$E$10,MATCH($C195,Parâmetros!$B$5:$B$10,0)),"")-$I195,""))</f>
        <v/>
      </c>
      <c r="K195" s="54" t="str">
        <f>IF($B195="","",IF(NOT(ISNUMBER($J195)),"",IF($J195&lt;=0,"OK - frota cobre a meta do dia",IF($J195&lt;=Parâmetros!$C$15,"ATENCAO - faltam "&amp;TEXT($J195,"0")&amp;" viagem(ns) de frota","CRITICO - faltam "&amp;TEXT($J195,"0")&amp;" viagens: acionar plano"))))</f>
        <v/>
      </c>
      <c r="L195" s="51"/>
      <c r="M195" s="51"/>
      <c r="N195" s="51"/>
      <c r="O195" s="50"/>
      <c r="P195" s="51"/>
      <c r="Q195" s="51"/>
      <c r="R195" s="55"/>
      <c r="S195" s="56"/>
      <c r="T195" s="56"/>
      <c r="U195" s="56"/>
      <c r="V195" s="19"/>
      <c r="W195" s="51"/>
      <c r="X195" s="57" t="str">
        <f t="shared" si="14"/>
        <v/>
      </c>
      <c r="Y195" s="57" t="str">
        <f t="shared" si="15"/>
        <v/>
      </c>
      <c r="Z195" s="57" t="str">
        <f t="shared" si="16"/>
        <v/>
      </c>
      <c r="AA195" s="58" t="str">
        <f t="shared" si="17"/>
        <v/>
      </c>
      <c r="AB195" s="58" t="str">
        <f t="shared" si="18"/>
        <v/>
      </c>
      <c r="AC195" s="57" t="str">
        <f t="shared" si="19"/>
        <v/>
      </c>
      <c r="AD195" s="59" t="str">
        <f t="shared" si="20"/>
        <v/>
      </c>
      <c r="AE195" s="54" t="str">
        <f>IF($B195="","",IF(NOT(ISNUMBER($AA195)),"Aguardando fechamento",IF($P195&gt;0,"ACAO: "&amp;TEXT($P195,"0")&amp;" carga(s) terceirizada(s) de forma evitavel",IF(IF(ISNUMBER($Z195),$Z195,0)&gt;IFERROR(INDEX(Parâmetros!$G$5:$G$10,MATCH($C195,Parâmetros!$B$5:$B$10,0)),""),"ALERTA: terceiros acima da meta",IF($AA195&gt;IFERROR(INDEX(Parâmetros!$D$5:$D$10,MATCH($C195,Parâmetros!$B$5:$B$10,0)),""),"ALERTA: custo/km acima da meta","OK - dentro das metas")))))</f>
        <v/>
      </c>
    </row>
    <row r="196" spans="2:31" ht="15" customHeight="1" x14ac:dyDescent="0.3">
      <c r="B196" s="48"/>
      <c r="C196" s="49"/>
      <c r="D196" s="50"/>
      <c r="E196" s="51"/>
      <c r="F196" s="52"/>
      <c r="G196" s="51"/>
      <c r="H196" s="51"/>
      <c r="I196" s="53" t="str">
        <f>IF($B196="","",IFERROR($G196*IFERROR(INDEX(Parâmetros!$C$5:$C$10,MATCH($C196,Parâmetros!$B$5:$B$10,0)),"")/Parâmetros!$C$13,""))</f>
        <v/>
      </c>
      <c r="J196" s="53" t="str">
        <f>IF($B196="","",IFERROR($E196*IFERROR(INDEX(Parâmetros!$E$5:$E$10,MATCH($C196,Parâmetros!$B$5:$B$10,0)),"")-$I196,""))</f>
        <v/>
      </c>
      <c r="K196" s="54" t="str">
        <f>IF($B196="","",IF(NOT(ISNUMBER($J196)),"",IF($J196&lt;=0,"OK - frota cobre a meta do dia",IF($J196&lt;=Parâmetros!$C$15,"ATENCAO - faltam "&amp;TEXT($J196,"0")&amp;" viagem(ns) de frota","CRITICO - faltam "&amp;TEXT($J196,"0")&amp;" viagens: acionar plano"))))</f>
        <v/>
      </c>
      <c r="L196" s="51"/>
      <c r="M196" s="51"/>
      <c r="N196" s="51"/>
      <c r="O196" s="50"/>
      <c r="P196" s="51"/>
      <c r="Q196" s="51"/>
      <c r="R196" s="55"/>
      <c r="S196" s="56"/>
      <c r="T196" s="56"/>
      <c r="U196" s="56"/>
      <c r="V196" s="19"/>
      <c r="W196" s="51"/>
      <c r="X196" s="57" t="str">
        <f t="shared" si="14"/>
        <v/>
      </c>
      <c r="Y196" s="57" t="str">
        <f t="shared" si="15"/>
        <v/>
      </c>
      <c r="Z196" s="57" t="str">
        <f t="shared" si="16"/>
        <v/>
      </c>
      <c r="AA196" s="58" t="str">
        <f t="shared" si="17"/>
        <v/>
      </c>
      <c r="AB196" s="58" t="str">
        <f t="shared" si="18"/>
        <v/>
      </c>
      <c r="AC196" s="57" t="str">
        <f t="shared" si="19"/>
        <v/>
      </c>
      <c r="AD196" s="59" t="str">
        <f t="shared" si="20"/>
        <v/>
      </c>
      <c r="AE196" s="54" t="str">
        <f>IF($B196="","",IF(NOT(ISNUMBER($AA196)),"Aguardando fechamento",IF($P196&gt;0,"ACAO: "&amp;TEXT($P196,"0")&amp;" carga(s) terceirizada(s) de forma evitavel",IF(IF(ISNUMBER($Z196),$Z196,0)&gt;IFERROR(INDEX(Parâmetros!$G$5:$G$10,MATCH($C196,Parâmetros!$B$5:$B$10,0)),""),"ALERTA: terceiros acima da meta",IF($AA196&gt;IFERROR(INDEX(Parâmetros!$D$5:$D$10,MATCH($C196,Parâmetros!$B$5:$B$10,0)),""),"ALERTA: custo/km acima da meta","OK - dentro das metas")))))</f>
        <v/>
      </c>
    </row>
    <row r="197" spans="2:31" ht="15" customHeight="1" x14ac:dyDescent="0.3">
      <c r="B197" s="48"/>
      <c r="C197" s="49"/>
      <c r="D197" s="50"/>
      <c r="E197" s="51"/>
      <c r="F197" s="52"/>
      <c r="G197" s="51"/>
      <c r="H197" s="51"/>
      <c r="I197" s="53" t="str">
        <f>IF($B197="","",IFERROR($G197*IFERROR(INDEX(Parâmetros!$C$5:$C$10,MATCH($C197,Parâmetros!$B$5:$B$10,0)),"")/Parâmetros!$C$13,""))</f>
        <v/>
      </c>
      <c r="J197" s="53" t="str">
        <f>IF($B197="","",IFERROR($E197*IFERROR(INDEX(Parâmetros!$E$5:$E$10,MATCH($C197,Parâmetros!$B$5:$B$10,0)),"")-$I197,""))</f>
        <v/>
      </c>
      <c r="K197" s="54" t="str">
        <f>IF($B197="","",IF(NOT(ISNUMBER($J197)),"",IF($J197&lt;=0,"OK - frota cobre a meta do dia",IF($J197&lt;=Parâmetros!$C$15,"ATENCAO - faltam "&amp;TEXT($J197,"0")&amp;" viagem(ns) de frota","CRITICO - faltam "&amp;TEXT($J197,"0")&amp;" viagens: acionar plano"))))</f>
        <v/>
      </c>
      <c r="L197" s="51"/>
      <c r="M197" s="51"/>
      <c r="N197" s="51"/>
      <c r="O197" s="50"/>
      <c r="P197" s="51"/>
      <c r="Q197" s="51"/>
      <c r="R197" s="55"/>
      <c r="S197" s="56"/>
      <c r="T197" s="56"/>
      <c r="U197" s="56"/>
      <c r="V197" s="19"/>
      <c r="W197" s="51"/>
      <c r="X197" s="57" t="str">
        <f t="shared" si="14"/>
        <v/>
      </c>
      <c r="Y197" s="57" t="str">
        <f t="shared" si="15"/>
        <v/>
      </c>
      <c r="Z197" s="57" t="str">
        <f t="shared" si="16"/>
        <v/>
      </c>
      <c r="AA197" s="58" t="str">
        <f t="shared" si="17"/>
        <v/>
      </c>
      <c r="AB197" s="58" t="str">
        <f t="shared" si="18"/>
        <v/>
      </c>
      <c r="AC197" s="57" t="str">
        <f t="shared" si="19"/>
        <v/>
      </c>
      <c r="AD197" s="59" t="str">
        <f t="shared" si="20"/>
        <v/>
      </c>
      <c r="AE197" s="54" t="str">
        <f>IF($B197="","",IF(NOT(ISNUMBER($AA197)),"Aguardando fechamento",IF($P197&gt;0,"ACAO: "&amp;TEXT($P197,"0")&amp;" carga(s) terceirizada(s) de forma evitavel",IF(IF(ISNUMBER($Z197),$Z197,0)&gt;IFERROR(INDEX(Parâmetros!$G$5:$G$10,MATCH($C197,Parâmetros!$B$5:$B$10,0)),""),"ALERTA: terceiros acima da meta",IF($AA197&gt;IFERROR(INDEX(Parâmetros!$D$5:$D$10,MATCH($C197,Parâmetros!$B$5:$B$10,0)),""),"ALERTA: custo/km acima da meta","OK - dentro das metas")))))</f>
        <v/>
      </c>
    </row>
    <row r="198" spans="2:31" ht="15" customHeight="1" x14ac:dyDescent="0.3">
      <c r="B198" s="48"/>
      <c r="C198" s="49"/>
      <c r="D198" s="50"/>
      <c r="E198" s="51"/>
      <c r="F198" s="52"/>
      <c r="G198" s="51"/>
      <c r="H198" s="51"/>
      <c r="I198" s="53" t="str">
        <f>IF($B198="","",IFERROR($G198*IFERROR(INDEX(Parâmetros!$C$5:$C$10,MATCH($C198,Parâmetros!$B$5:$B$10,0)),"")/Parâmetros!$C$13,""))</f>
        <v/>
      </c>
      <c r="J198" s="53" t="str">
        <f>IF($B198="","",IFERROR($E198*IFERROR(INDEX(Parâmetros!$E$5:$E$10,MATCH($C198,Parâmetros!$B$5:$B$10,0)),"")-$I198,""))</f>
        <v/>
      </c>
      <c r="K198" s="54" t="str">
        <f>IF($B198="","",IF(NOT(ISNUMBER($J198)),"",IF($J198&lt;=0,"OK - frota cobre a meta do dia",IF($J198&lt;=Parâmetros!$C$15,"ATENCAO - faltam "&amp;TEXT($J198,"0")&amp;" viagem(ns) de frota","CRITICO - faltam "&amp;TEXT($J198,"0")&amp;" viagens: acionar plano"))))</f>
        <v/>
      </c>
      <c r="L198" s="51"/>
      <c r="M198" s="51"/>
      <c r="N198" s="51"/>
      <c r="O198" s="50"/>
      <c r="P198" s="51"/>
      <c r="Q198" s="51"/>
      <c r="R198" s="55"/>
      <c r="S198" s="56"/>
      <c r="T198" s="56"/>
      <c r="U198" s="56"/>
      <c r="V198" s="19"/>
      <c r="W198" s="51"/>
      <c r="X198" s="57" t="str">
        <f t="shared" ref="X198:X255" si="21">IF($B198="","",IFERROR($L198/($L198+$M198+$N198),""))</f>
        <v/>
      </c>
      <c r="Y198" s="57" t="str">
        <f t="shared" ref="Y198:Y255" si="22">IF($B198="","",IFERROR($M198/($L198+$M198+$N198),""))</f>
        <v/>
      </c>
      <c r="Z198" s="57" t="str">
        <f t="shared" ref="Z198:Z255" si="23">IF($B198="","",IFERROR($N198/($L198+$M198+$N198),""))</f>
        <v/>
      </c>
      <c r="AA198" s="58" t="str">
        <f t="shared" ref="AA198:AA255" si="24">IF($B198="","",IFERROR($S198/$R198,""))</f>
        <v/>
      </c>
      <c r="AB198" s="58" t="str">
        <f t="shared" ref="AB198:AB255" si="25">IF($B198="","",IFERROR($Q198/$G198,""))</f>
        <v/>
      </c>
      <c r="AC198" s="57" t="str">
        <f t="shared" ref="AC198:AC255" si="26">IF($B198="","",IFERROR($T198/$U198,""))</f>
        <v/>
      </c>
      <c r="AD198" s="59" t="str">
        <f t="shared" ref="AD198:AD255" si="27">IF($B198="","",IFERROR(IF(AND($N198&gt;0,$L198&gt;0),$P198*(($T198/$N198)-($S198/$L198)),0),0))</f>
        <v/>
      </c>
      <c r="AE198" s="54" t="str">
        <f>IF($B198="","",IF(NOT(ISNUMBER($AA198)),"Aguardando fechamento",IF($P198&gt;0,"ACAO: "&amp;TEXT($P198,"0")&amp;" carga(s) terceirizada(s) de forma evitavel",IF(IF(ISNUMBER($Z198),$Z198,0)&gt;IFERROR(INDEX(Parâmetros!$G$5:$G$10,MATCH($C198,Parâmetros!$B$5:$B$10,0)),""),"ALERTA: terceiros acima da meta",IF($AA198&gt;IFERROR(INDEX(Parâmetros!$D$5:$D$10,MATCH($C198,Parâmetros!$B$5:$B$10,0)),""),"ALERTA: custo/km acima da meta","OK - dentro das metas")))))</f>
        <v/>
      </c>
    </row>
    <row r="199" spans="2:31" ht="15" customHeight="1" x14ac:dyDescent="0.3">
      <c r="B199" s="48"/>
      <c r="C199" s="49"/>
      <c r="D199" s="50"/>
      <c r="E199" s="51"/>
      <c r="F199" s="52"/>
      <c r="G199" s="51"/>
      <c r="H199" s="51"/>
      <c r="I199" s="53" t="str">
        <f>IF($B199="","",IFERROR($G199*IFERROR(INDEX(Parâmetros!$C$5:$C$10,MATCH($C199,Parâmetros!$B$5:$B$10,0)),"")/Parâmetros!$C$13,""))</f>
        <v/>
      </c>
      <c r="J199" s="53" t="str">
        <f>IF($B199="","",IFERROR($E199*IFERROR(INDEX(Parâmetros!$E$5:$E$10,MATCH($C199,Parâmetros!$B$5:$B$10,0)),"")-$I199,""))</f>
        <v/>
      </c>
      <c r="K199" s="54" t="str">
        <f>IF($B199="","",IF(NOT(ISNUMBER($J199)),"",IF($J199&lt;=0,"OK - frota cobre a meta do dia",IF($J199&lt;=Parâmetros!$C$15,"ATENCAO - faltam "&amp;TEXT($J199,"0")&amp;" viagem(ns) de frota","CRITICO - faltam "&amp;TEXT($J199,"0")&amp;" viagens: acionar plano"))))</f>
        <v/>
      </c>
      <c r="L199" s="51"/>
      <c r="M199" s="51"/>
      <c r="N199" s="51"/>
      <c r="O199" s="50"/>
      <c r="P199" s="51"/>
      <c r="Q199" s="51"/>
      <c r="R199" s="55"/>
      <c r="S199" s="56"/>
      <c r="T199" s="56"/>
      <c r="U199" s="56"/>
      <c r="V199" s="19"/>
      <c r="W199" s="51"/>
      <c r="X199" s="57" t="str">
        <f t="shared" si="21"/>
        <v/>
      </c>
      <c r="Y199" s="57" t="str">
        <f t="shared" si="22"/>
        <v/>
      </c>
      <c r="Z199" s="57" t="str">
        <f t="shared" si="23"/>
        <v/>
      </c>
      <c r="AA199" s="58" t="str">
        <f t="shared" si="24"/>
        <v/>
      </c>
      <c r="AB199" s="58" t="str">
        <f t="shared" si="25"/>
        <v/>
      </c>
      <c r="AC199" s="57" t="str">
        <f t="shared" si="26"/>
        <v/>
      </c>
      <c r="AD199" s="59" t="str">
        <f t="shared" si="27"/>
        <v/>
      </c>
      <c r="AE199" s="54" t="str">
        <f>IF($B199="","",IF(NOT(ISNUMBER($AA199)),"Aguardando fechamento",IF($P199&gt;0,"ACAO: "&amp;TEXT($P199,"0")&amp;" carga(s) terceirizada(s) de forma evitavel",IF(IF(ISNUMBER($Z199),$Z199,0)&gt;IFERROR(INDEX(Parâmetros!$G$5:$G$10,MATCH($C199,Parâmetros!$B$5:$B$10,0)),""),"ALERTA: terceiros acima da meta",IF($AA199&gt;IFERROR(INDEX(Parâmetros!$D$5:$D$10,MATCH($C199,Parâmetros!$B$5:$B$10,0)),""),"ALERTA: custo/km acima da meta","OK - dentro das metas")))))</f>
        <v/>
      </c>
    </row>
    <row r="200" spans="2:31" ht="15" customHeight="1" x14ac:dyDescent="0.3">
      <c r="B200" s="48"/>
      <c r="C200" s="49"/>
      <c r="D200" s="50"/>
      <c r="E200" s="51"/>
      <c r="F200" s="52"/>
      <c r="G200" s="51"/>
      <c r="H200" s="51"/>
      <c r="I200" s="53" t="str">
        <f>IF($B200="","",IFERROR($G200*IFERROR(INDEX(Parâmetros!$C$5:$C$10,MATCH($C200,Parâmetros!$B$5:$B$10,0)),"")/Parâmetros!$C$13,""))</f>
        <v/>
      </c>
      <c r="J200" s="53" t="str">
        <f>IF($B200="","",IFERROR($E200*IFERROR(INDEX(Parâmetros!$E$5:$E$10,MATCH($C200,Parâmetros!$B$5:$B$10,0)),"")-$I200,""))</f>
        <v/>
      </c>
      <c r="K200" s="54" t="str">
        <f>IF($B200="","",IF(NOT(ISNUMBER($J200)),"",IF($J200&lt;=0,"OK - frota cobre a meta do dia",IF($J200&lt;=Parâmetros!$C$15,"ATENCAO - faltam "&amp;TEXT($J200,"0")&amp;" viagem(ns) de frota","CRITICO - faltam "&amp;TEXT($J200,"0")&amp;" viagens: acionar plano"))))</f>
        <v/>
      </c>
      <c r="L200" s="51"/>
      <c r="M200" s="51"/>
      <c r="N200" s="51"/>
      <c r="O200" s="50"/>
      <c r="P200" s="51"/>
      <c r="Q200" s="51"/>
      <c r="R200" s="55"/>
      <c r="S200" s="56"/>
      <c r="T200" s="56"/>
      <c r="U200" s="56"/>
      <c r="V200" s="19"/>
      <c r="W200" s="51"/>
      <c r="X200" s="57" t="str">
        <f t="shared" si="21"/>
        <v/>
      </c>
      <c r="Y200" s="57" t="str">
        <f t="shared" si="22"/>
        <v/>
      </c>
      <c r="Z200" s="57" t="str">
        <f t="shared" si="23"/>
        <v/>
      </c>
      <c r="AA200" s="58" t="str">
        <f t="shared" si="24"/>
        <v/>
      </c>
      <c r="AB200" s="58" t="str">
        <f t="shared" si="25"/>
        <v/>
      </c>
      <c r="AC200" s="57" t="str">
        <f t="shared" si="26"/>
        <v/>
      </c>
      <c r="AD200" s="59" t="str">
        <f t="shared" si="27"/>
        <v/>
      </c>
      <c r="AE200" s="54" t="str">
        <f>IF($B200="","",IF(NOT(ISNUMBER($AA200)),"Aguardando fechamento",IF($P200&gt;0,"ACAO: "&amp;TEXT($P200,"0")&amp;" carga(s) terceirizada(s) de forma evitavel",IF(IF(ISNUMBER($Z200),$Z200,0)&gt;IFERROR(INDEX(Parâmetros!$G$5:$G$10,MATCH($C200,Parâmetros!$B$5:$B$10,0)),""),"ALERTA: terceiros acima da meta",IF($AA200&gt;IFERROR(INDEX(Parâmetros!$D$5:$D$10,MATCH($C200,Parâmetros!$B$5:$B$10,0)),""),"ALERTA: custo/km acima da meta","OK - dentro das metas")))))</f>
        <v/>
      </c>
    </row>
    <row r="201" spans="2:31" ht="15" customHeight="1" x14ac:dyDescent="0.3">
      <c r="B201" s="48"/>
      <c r="C201" s="49"/>
      <c r="D201" s="50"/>
      <c r="E201" s="51"/>
      <c r="F201" s="52"/>
      <c r="G201" s="51"/>
      <c r="H201" s="51"/>
      <c r="I201" s="53" t="str">
        <f>IF($B201="","",IFERROR($G201*IFERROR(INDEX(Parâmetros!$C$5:$C$10,MATCH($C201,Parâmetros!$B$5:$B$10,0)),"")/Parâmetros!$C$13,""))</f>
        <v/>
      </c>
      <c r="J201" s="53" t="str">
        <f>IF($B201="","",IFERROR($E201*IFERROR(INDEX(Parâmetros!$E$5:$E$10,MATCH($C201,Parâmetros!$B$5:$B$10,0)),"")-$I201,""))</f>
        <v/>
      </c>
      <c r="K201" s="54" t="str">
        <f>IF($B201="","",IF(NOT(ISNUMBER($J201)),"",IF($J201&lt;=0,"OK - frota cobre a meta do dia",IF($J201&lt;=Parâmetros!$C$15,"ATENCAO - faltam "&amp;TEXT($J201,"0")&amp;" viagem(ns) de frota","CRITICO - faltam "&amp;TEXT($J201,"0")&amp;" viagens: acionar plano"))))</f>
        <v/>
      </c>
      <c r="L201" s="51"/>
      <c r="M201" s="51"/>
      <c r="N201" s="51"/>
      <c r="O201" s="50"/>
      <c r="P201" s="51"/>
      <c r="Q201" s="51"/>
      <c r="R201" s="55"/>
      <c r="S201" s="56"/>
      <c r="T201" s="56"/>
      <c r="U201" s="56"/>
      <c r="V201" s="19"/>
      <c r="W201" s="51"/>
      <c r="X201" s="57" t="str">
        <f t="shared" si="21"/>
        <v/>
      </c>
      <c r="Y201" s="57" t="str">
        <f t="shared" si="22"/>
        <v/>
      </c>
      <c r="Z201" s="57" t="str">
        <f t="shared" si="23"/>
        <v/>
      </c>
      <c r="AA201" s="58" t="str">
        <f t="shared" si="24"/>
        <v/>
      </c>
      <c r="AB201" s="58" t="str">
        <f t="shared" si="25"/>
        <v/>
      </c>
      <c r="AC201" s="57" t="str">
        <f t="shared" si="26"/>
        <v/>
      </c>
      <c r="AD201" s="59" t="str">
        <f t="shared" si="27"/>
        <v/>
      </c>
      <c r="AE201" s="54" t="str">
        <f>IF($B201="","",IF(NOT(ISNUMBER($AA201)),"Aguardando fechamento",IF($P201&gt;0,"ACAO: "&amp;TEXT($P201,"0")&amp;" carga(s) terceirizada(s) de forma evitavel",IF(IF(ISNUMBER($Z201),$Z201,0)&gt;IFERROR(INDEX(Parâmetros!$G$5:$G$10,MATCH($C201,Parâmetros!$B$5:$B$10,0)),""),"ALERTA: terceiros acima da meta",IF($AA201&gt;IFERROR(INDEX(Parâmetros!$D$5:$D$10,MATCH($C201,Parâmetros!$B$5:$B$10,0)),""),"ALERTA: custo/km acima da meta","OK - dentro das metas")))))</f>
        <v/>
      </c>
    </row>
    <row r="202" spans="2:31" ht="15" customHeight="1" x14ac:dyDescent="0.3">
      <c r="B202" s="48"/>
      <c r="C202" s="49"/>
      <c r="D202" s="50"/>
      <c r="E202" s="51"/>
      <c r="F202" s="52"/>
      <c r="G202" s="51"/>
      <c r="H202" s="51"/>
      <c r="I202" s="53" t="str">
        <f>IF($B202="","",IFERROR($G202*IFERROR(INDEX(Parâmetros!$C$5:$C$10,MATCH($C202,Parâmetros!$B$5:$B$10,0)),"")/Parâmetros!$C$13,""))</f>
        <v/>
      </c>
      <c r="J202" s="53" t="str">
        <f>IF($B202="","",IFERROR($E202*IFERROR(INDEX(Parâmetros!$E$5:$E$10,MATCH($C202,Parâmetros!$B$5:$B$10,0)),"")-$I202,""))</f>
        <v/>
      </c>
      <c r="K202" s="54" t="str">
        <f>IF($B202="","",IF(NOT(ISNUMBER($J202)),"",IF($J202&lt;=0,"OK - frota cobre a meta do dia",IF($J202&lt;=Parâmetros!$C$15,"ATENCAO - faltam "&amp;TEXT($J202,"0")&amp;" viagem(ns) de frota","CRITICO - faltam "&amp;TEXT($J202,"0")&amp;" viagens: acionar plano"))))</f>
        <v/>
      </c>
      <c r="L202" s="51"/>
      <c r="M202" s="51"/>
      <c r="N202" s="51"/>
      <c r="O202" s="50"/>
      <c r="P202" s="51"/>
      <c r="Q202" s="51"/>
      <c r="R202" s="55"/>
      <c r="S202" s="56"/>
      <c r="T202" s="56"/>
      <c r="U202" s="56"/>
      <c r="V202" s="19"/>
      <c r="W202" s="51"/>
      <c r="X202" s="57" t="str">
        <f t="shared" si="21"/>
        <v/>
      </c>
      <c r="Y202" s="57" t="str">
        <f t="shared" si="22"/>
        <v/>
      </c>
      <c r="Z202" s="57" t="str">
        <f t="shared" si="23"/>
        <v/>
      </c>
      <c r="AA202" s="58" t="str">
        <f t="shared" si="24"/>
        <v/>
      </c>
      <c r="AB202" s="58" t="str">
        <f t="shared" si="25"/>
        <v/>
      </c>
      <c r="AC202" s="57" t="str">
        <f t="shared" si="26"/>
        <v/>
      </c>
      <c r="AD202" s="59" t="str">
        <f t="shared" si="27"/>
        <v/>
      </c>
      <c r="AE202" s="54" t="str">
        <f>IF($B202="","",IF(NOT(ISNUMBER($AA202)),"Aguardando fechamento",IF($P202&gt;0,"ACAO: "&amp;TEXT($P202,"0")&amp;" carga(s) terceirizada(s) de forma evitavel",IF(IF(ISNUMBER($Z202),$Z202,0)&gt;IFERROR(INDEX(Parâmetros!$G$5:$G$10,MATCH($C202,Parâmetros!$B$5:$B$10,0)),""),"ALERTA: terceiros acima da meta",IF($AA202&gt;IFERROR(INDEX(Parâmetros!$D$5:$D$10,MATCH($C202,Parâmetros!$B$5:$B$10,0)),""),"ALERTA: custo/km acima da meta","OK - dentro das metas")))))</f>
        <v/>
      </c>
    </row>
    <row r="203" spans="2:31" ht="15" customHeight="1" x14ac:dyDescent="0.3">
      <c r="B203" s="48"/>
      <c r="C203" s="49"/>
      <c r="D203" s="50"/>
      <c r="E203" s="51"/>
      <c r="F203" s="52"/>
      <c r="G203" s="51"/>
      <c r="H203" s="51"/>
      <c r="I203" s="53" t="str">
        <f>IF($B203="","",IFERROR($G203*IFERROR(INDEX(Parâmetros!$C$5:$C$10,MATCH($C203,Parâmetros!$B$5:$B$10,0)),"")/Parâmetros!$C$13,""))</f>
        <v/>
      </c>
      <c r="J203" s="53" t="str">
        <f>IF($B203="","",IFERROR($E203*IFERROR(INDEX(Parâmetros!$E$5:$E$10,MATCH($C203,Parâmetros!$B$5:$B$10,0)),"")-$I203,""))</f>
        <v/>
      </c>
      <c r="K203" s="54" t="str">
        <f>IF($B203="","",IF(NOT(ISNUMBER($J203)),"",IF($J203&lt;=0,"OK - frota cobre a meta do dia",IF($J203&lt;=Parâmetros!$C$15,"ATENCAO - faltam "&amp;TEXT($J203,"0")&amp;" viagem(ns) de frota","CRITICO - faltam "&amp;TEXT($J203,"0")&amp;" viagens: acionar plano"))))</f>
        <v/>
      </c>
      <c r="L203" s="51"/>
      <c r="M203" s="51"/>
      <c r="N203" s="51"/>
      <c r="O203" s="50"/>
      <c r="P203" s="51"/>
      <c r="Q203" s="51"/>
      <c r="R203" s="55"/>
      <c r="S203" s="56"/>
      <c r="T203" s="56"/>
      <c r="U203" s="56"/>
      <c r="V203" s="19"/>
      <c r="W203" s="51"/>
      <c r="X203" s="57" t="str">
        <f t="shared" si="21"/>
        <v/>
      </c>
      <c r="Y203" s="57" t="str">
        <f t="shared" si="22"/>
        <v/>
      </c>
      <c r="Z203" s="57" t="str">
        <f t="shared" si="23"/>
        <v/>
      </c>
      <c r="AA203" s="58" t="str">
        <f t="shared" si="24"/>
        <v/>
      </c>
      <c r="AB203" s="58" t="str">
        <f t="shared" si="25"/>
        <v/>
      </c>
      <c r="AC203" s="57" t="str">
        <f t="shared" si="26"/>
        <v/>
      </c>
      <c r="AD203" s="59" t="str">
        <f t="shared" si="27"/>
        <v/>
      </c>
      <c r="AE203" s="54" t="str">
        <f>IF($B203="","",IF(NOT(ISNUMBER($AA203)),"Aguardando fechamento",IF($P203&gt;0,"ACAO: "&amp;TEXT($P203,"0")&amp;" carga(s) terceirizada(s) de forma evitavel",IF(IF(ISNUMBER($Z203),$Z203,0)&gt;IFERROR(INDEX(Parâmetros!$G$5:$G$10,MATCH($C203,Parâmetros!$B$5:$B$10,0)),""),"ALERTA: terceiros acima da meta",IF($AA203&gt;IFERROR(INDEX(Parâmetros!$D$5:$D$10,MATCH($C203,Parâmetros!$B$5:$B$10,0)),""),"ALERTA: custo/km acima da meta","OK - dentro das metas")))))</f>
        <v/>
      </c>
    </row>
    <row r="204" spans="2:31" ht="15" customHeight="1" x14ac:dyDescent="0.3">
      <c r="B204" s="48"/>
      <c r="C204" s="49"/>
      <c r="D204" s="50"/>
      <c r="E204" s="51"/>
      <c r="F204" s="52"/>
      <c r="G204" s="51"/>
      <c r="H204" s="51"/>
      <c r="I204" s="53" t="str">
        <f>IF($B204="","",IFERROR($G204*IFERROR(INDEX(Parâmetros!$C$5:$C$10,MATCH($C204,Parâmetros!$B$5:$B$10,0)),"")/Parâmetros!$C$13,""))</f>
        <v/>
      </c>
      <c r="J204" s="53" t="str">
        <f>IF($B204="","",IFERROR($E204*IFERROR(INDEX(Parâmetros!$E$5:$E$10,MATCH($C204,Parâmetros!$B$5:$B$10,0)),"")-$I204,""))</f>
        <v/>
      </c>
      <c r="K204" s="54" t="str">
        <f>IF($B204="","",IF(NOT(ISNUMBER($J204)),"",IF($J204&lt;=0,"OK - frota cobre a meta do dia",IF($J204&lt;=Parâmetros!$C$15,"ATENCAO - faltam "&amp;TEXT($J204,"0")&amp;" viagem(ns) de frota","CRITICO - faltam "&amp;TEXT($J204,"0")&amp;" viagens: acionar plano"))))</f>
        <v/>
      </c>
      <c r="L204" s="51"/>
      <c r="M204" s="51"/>
      <c r="N204" s="51"/>
      <c r="O204" s="50"/>
      <c r="P204" s="51"/>
      <c r="Q204" s="51"/>
      <c r="R204" s="55"/>
      <c r="S204" s="56"/>
      <c r="T204" s="56"/>
      <c r="U204" s="56"/>
      <c r="V204" s="19"/>
      <c r="W204" s="51"/>
      <c r="X204" s="57" t="str">
        <f t="shared" si="21"/>
        <v/>
      </c>
      <c r="Y204" s="57" t="str">
        <f t="shared" si="22"/>
        <v/>
      </c>
      <c r="Z204" s="57" t="str">
        <f t="shared" si="23"/>
        <v/>
      </c>
      <c r="AA204" s="58" t="str">
        <f t="shared" si="24"/>
        <v/>
      </c>
      <c r="AB204" s="58" t="str">
        <f t="shared" si="25"/>
        <v/>
      </c>
      <c r="AC204" s="57" t="str">
        <f t="shared" si="26"/>
        <v/>
      </c>
      <c r="AD204" s="59" t="str">
        <f t="shared" si="27"/>
        <v/>
      </c>
      <c r="AE204" s="54" t="str">
        <f>IF($B204="","",IF(NOT(ISNUMBER($AA204)),"Aguardando fechamento",IF($P204&gt;0,"ACAO: "&amp;TEXT($P204,"0")&amp;" carga(s) terceirizada(s) de forma evitavel",IF(IF(ISNUMBER($Z204),$Z204,0)&gt;IFERROR(INDEX(Parâmetros!$G$5:$G$10,MATCH($C204,Parâmetros!$B$5:$B$10,0)),""),"ALERTA: terceiros acima da meta",IF($AA204&gt;IFERROR(INDEX(Parâmetros!$D$5:$D$10,MATCH($C204,Parâmetros!$B$5:$B$10,0)),""),"ALERTA: custo/km acima da meta","OK - dentro das metas")))))</f>
        <v/>
      </c>
    </row>
    <row r="205" spans="2:31" ht="15" customHeight="1" x14ac:dyDescent="0.3">
      <c r="B205" s="48"/>
      <c r="C205" s="49"/>
      <c r="D205" s="50"/>
      <c r="E205" s="51"/>
      <c r="F205" s="52"/>
      <c r="G205" s="51"/>
      <c r="H205" s="51"/>
      <c r="I205" s="53" t="str">
        <f>IF($B205="","",IFERROR($G205*IFERROR(INDEX(Parâmetros!$C$5:$C$10,MATCH($C205,Parâmetros!$B$5:$B$10,0)),"")/Parâmetros!$C$13,""))</f>
        <v/>
      </c>
      <c r="J205" s="53" t="str">
        <f>IF($B205="","",IFERROR($E205*IFERROR(INDEX(Parâmetros!$E$5:$E$10,MATCH($C205,Parâmetros!$B$5:$B$10,0)),"")-$I205,""))</f>
        <v/>
      </c>
      <c r="K205" s="54" t="str">
        <f>IF($B205="","",IF(NOT(ISNUMBER($J205)),"",IF($J205&lt;=0,"OK - frota cobre a meta do dia",IF($J205&lt;=Parâmetros!$C$15,"ATENCAO - faltam "&amp;TEXT($J205,"0")&amp;" viagem(ns) de frota","CRITICO - faltam "&amp;TEXT($J205,"0")&amp;" viagens: acionar plano"))))</f>
        <v/>
      </c>
      <c r="L205" s="51"/>
      <c r="M205" s="51"/>
      <c r="N205" s="51"/>
      <c r="O205" s="50"/>
      <c r="P205" s="51"/>
      <c r="Q205" s="51"/>
      <c r="R205" s="55"/>
      <c r="S205" s="56"/>
      <c r="T205" s="56"/>
      <c r="U205" s="56"/>
      <c r="V205" s="19"/>
      <c r="W205" s="51"/>
      <c r="X205" s="57" t="str">
        <f t="shared" si="21"/>
        <v/>
      </c>
      <c r="Y205" s="57" t="str">
        <f t="shared" si="22"/>
        <v/>
      </c>
      <c r="Z205" s="57" t="str">
        <f t="shared" si="23"/>
        <v/>
      </c>
      <c r="AA205" s="58" t="str">
        <f t="shared" si="24"/>
        <v/>
      </c>
      <c r="AB205" s="58" t="str">
        <f t="shared" si="25"/>
        <v/>
      </c>
      <c r="AC205" s="57" t="str">
        <f t="shared" si="26"/>
        <v/>
      </c>
      <c r="AD205" s="59" t="str">
        <f t="shared" si="27"/>
        <v/>
      </c>
      <c r="AE205" s="54" t="str">
        <f>IF($B205="","",IF(NOT(ISNUMBER($AA205)),"Aguardando fechamento",IF($P205&gt;0,"ACAO: "&amp;TEXT($P205,"0")&amp;" carga(s) terceirizada(s) de forma evitavel",IF(IF(ISNUMBER($Z205),$Z205,0)&gt;IFERROR(INDEX(Parâmetros!$G$5:$G$10,MATCH($C205,Parâmetros!$B$5:$B$10,0)),""),"ALERTA: terceiros acima da meta",IF($AA205&gt;IFERROR(INDEX(Parâmetros!$D$5:$D$10,MATCH($C205,Parâmetros!$B$5:$B$10,0)),""),"ALERTA: custo/km acima da meta","OK - dentro das metas")))))</f>
        <v/>
      </c>
    </row>
    <row r="206" spans="2:31" ht="15" customHeight="1" x14ac:dyDescent="0.3">
      <c r="B206" s="48"/>
      <c r="C206" s="49"/>
      <c r="D206" s="50"/>
      <c r="E206" s="51"/>
      <c r="F206" s="52"/>
      <c r="G206" s="51"/>
      <c r="H206" s="51"/>
      <c r="I206" s="53" t="str">
        <f>IF($B206="","",IFERROR($G206*IFERROR(INDEX(Parâmetros!$C$5:$C$10,MATCH($C206,Parâmetros!$B$5:$B$10,0)),"")/Parâmetros!$C$13,""))</f>
        <v/>
      </c>
      <c r="J206" s="53" t="str">
        <f>IF($B206="","",IFERROR($E206*IFERROR(INDEX(Parâmetros!$E$5:$E$10,MATCH($C206,Parâmetros!$B$5:$B$10,0)),"")-$I206,""))</f>
        <v/>
      </c>
      <c r="K206" s="54" t="str">
        <f>IF($B206="","",IF(NOT(ISNUMBER($J206)),"",IF($J206&lt;=0,"OK - frota cobre a meta do dia",IF($J206&lt;=Parâmetros!$C$15,"ATENCAO - faltam "&amp;TEXT($J206,"0")&amp;" viagem(ns) de frota","CRITICO - faltam "&amp;TEXT($J206,"0")&amp;" viagens: acionar plano"))))</f>
        <v/>
      </c>
      <c r="L206" s="51"/>
      <c r="M206" s="51"/>
      <c r="N206" s="51"/>
      <c r="O206" s="50"/>
      <c r="P206" s="51"/>
      <c r="Q206" s="51"/>
      <c r="R206" s="55"/>
      <c r="S206" s="56"/>
      <c r="T206" s="56"/>
      <c r="U206" s="56"/>
      <c r="V206" s="19"/>
      <c r="W206" s="51"/>
      <c r="X206" s="57" t="str">
        <f t="shared" si="21"/>
        <v/>
      </c>
      <c r="Y206" s="57" t="str">
        <f t="shared" si="22"/>
        <v/>
      </c>
      <c r="Z206" s="57" t="str">
        <f t="shared" si="23"/>
        <v/>
      </c>
      <c r="AA206" s="58" t="str">
        <f t="shared" si="24"/>
        <v/>
      </c>
      <c r="AB206" s="58" t="str">
        <f t="shared" si="25"/>
        <v/>
      </c>
      <c r="AC206" s="57" t="str">
        <f t="shared" si="26"/>
        <v/>
      </c>
      <c r="AD206" s="59" t="str">
        <f t="shared" si="27"/>
        <v/>
      </c>
      <c r="AE206" s="54" t="str">
        <f>IF($B206="","",IF(NOT(ISNUMBER($AA206)),"Aguardando fechamento",IF($P206&gt;0,"ACAO: "&amp;TEXT($P206,"0")&amp;" carga(s) terceirizada(s) de forma evitavel",IF(IF(ISNUMBER($Z206),$Z206,0)&gt;IFERROR(INDEX(Parâmetros!$G$5:$G$10,MATCH($C206,Parâmetros!$B$5:$B$10,0)),""),"ALERTA: terceiros acima da meta",IF($AA206&gt;IFERROR(INDEX(Parâmetros!$D$5:$D$10,MATCH($C206,Parâmetros!$B$5:$B$10,0)),""),"ALERTA: custo/km acima da meta","OK - dentro das metas")))))</f>
        <v/>
      </c>
    </row>
    <row r="207" spans="2:31" ht="15" customHeight="1" x14ac:dyDescent="0.3">
      <c r="B207" s="48"/>
      <c r="C207" s="49"/>
      <c r="D207" s="50"/>
      <c r="E207" s="51"/>
      <c r="F207" s="52"/>
      <c r="G207" s="51"/>
      <c r="H207" s="51"/>
      <c r="I207" s="53" t="str">
        <f>IF($B207="","",IFERROR($G207*IFERROR(INDEX(Parâmetros!$C$5:$C$10,MATCH($C207,Parâmetros!$B$5:$B$10,0)),"")/Parâmetros!$C$13,""))</f>
        <v/>
      </c>
      <c r="J207" s="53" t="str">
        <f>IF($B207="","",IFERROR($E207*IFERROR(INDEX(Parâmetros!$E$5:$E$10,MATCH($C207,Parâmetros!$B$5:$B$10,0)),"")-$I207,""))</f>
        <v/>
      </c>
      <c r="K207" s="54" t="str">
        <f>IF($B207="","",IF(NOT(ISNUMBER($J207)),"",IF($J207&lt;=0,"OK - frota cobre a meta do dia",IF($J207&lt;=Parâmetros!$C$15,"ATENCAO - faltam "&amp;TEXT($J207,"0")&amp;" viagem(ns) de frota","CRITICO - faltam "&amp;TEXT($J207,"0")&amp;" viagens: acionar plano"))))</f>
        <v/>
      </c>
      <c r="L207" s="51"/>
      <c r="M207" s="51"/>
      <c r="N207" s="51"/>
      <c r="O207" s="50"/>
      <c r="P207" s="51"/>
      <c r="Q207" s="51"/>
      <c r="R207" s="55"/>
      <c r="S207" s="56"/>
      <c r="T207" s="56"/>
      <c r="U207" s="56"/>
      <c r="V207" s="19"/>
      <c r="W207" s="51"/>
      <c r="X207" s="57" t="str">
        <f t="shared" si="21"/>
        <v/>
      </c>
      <c r="Y207" s="57" t="str">
        <f t="shared" si="22"/>
        <v/>
      </c>
      <c r="Z207" s="57" t="str">
        <f t="shared" si="23"/>
        <v/>
      </c>
      <c r="AA207" s="58" t="str">
        <f t="shared" si="24"/>
        <v/>
      </c>
      <c r="AB207" s="58" t="str">
        <f t="shared" si="25"/>
        <v/>
      </c>
      <c r="AC207" s="57" t="str">
        <f t="shared" si="26"/>
        <v/>
      </c>
      <c r="AD207" s="59" t="str">
        <f t="shared" si="27"/>
        <v/>
      </c>
      <c r="AE207" s="54" t="str">
        <f>IF($B207="","",IF(NOT(ISNUMBER($AA207)),"Aguardando fechamento",IF($P207&gt;0,"ACAO: "&amp;TEXT($P207,"0")&amp;" carga(s) terceirizada(s) de forma evitavel",IF(IF(ISNUMBER($Z207),$Z207,0)&gt;IFERROR(INDEX(Parâmetros!$G$5:$G$10,MATCH($C207,Parâmetros!$B$5:$B$10,0)),""),"ALERTA: terceiros acima da meta",IF($AA207&gt;IFERROR(INDEX(Parâmetros!$D$5:$D$10,MATCH($C207,Parâmetros!$B$5:$B$10,0)),""),"ALERTA: custo/km acima da meta","OK - dentro das metas")))))</f>
        <v/>
      </c>
    </row>
    <row r="208" spans="2:31" ht="15" customHeight="1" x14ac:dyDescent="0.3">
      <c r="B208" s="48"/>
      <c r="C208" s="49"/>
      <c r="D208" s="50"/>
      <c r="E208" s="51"/>
      <c r="F208" s="52"/>
      <c r="G208" s="51"/>
      <c r="H208" s="51"/>
      <c r="I208" s="53" t="str">
        <f>IF($B208="","",IFERROR($G208*IFERROR(INDEX(Parâmetros!$C$5:$C$10,MATCH($C208,Parâmetros!$B$5:$B$10,0)),"")/Parâmetros!$C$13,""))</f>
        <v/>
      </c>
      <c r="J208" s="53" t="str">
        <f>IF($B208="","",IFERROR($E208*IFERROR(INDEX(Parâmetros!$E$5:$E$10,MATCH($C208,Parâmetros!$B$5:$B$10,0)),"")-$I208,""))</f>
        <v/>
      </c>
      <c r="K208" s="54" t="str">
        <f>IF($B208="","",IF(NOT(ISNUMBER($J208)),"",IF($J208&lt;=0,"OK - frota cobre a meta do dia",IF($J208&lt;=Parâmetros!$C$15,"ATENCAO - faltam "&amp;TEXT($J208,"0")&amp;" viagem(ns) de frota","CRITICO - faltam "&amp;TEXT($J208,"0")&amp;" viagens: acionar plano"))))</f>
        <v/>
      </c>
      <c r="L208" s="51"/>
      <c r="M208" s="51"/>
      <c r="N208" s="51"/>
      <c r="O208" s="50"/>
      <c r="P208" s="51"/>
      <c r="Q208" s="51"/>
      <c r="R208" s="55"/>
      <c r="S208" s="56"/>
      <c r="T208" s="56"/>
      <c r="U208" s="56"/>
      <c r="V208" s="19"/>
      <c r="W208" s="51"/>
      <c r="X208" s="57" t="str">
        <f t="shared" si="21"/>
        <v/>
      </c>
      <c r="Y208" s="57" t="str">
        <f t="shared" si="22"/>
        <v/>
      </c>
      <c r="Z208" s="57" t="str">
        <f t="shared" si="23"/>
        <v/>
      </c>
      <c r="AA208" s="58" t="str">
        <f t="shared" si="24"/>
        <v/>
      </c>
      <c r="AB208" s="58" t="str">
        <f t="shared" si="25"/>
        <v/>
      </c>
      <c r="AC208" s="57" t="str">
        <f t="shared" si="26"/>
        <v/>
      </c>
      <c r="AD208" s="59" t="str">
        <f t="shared" si="27"/>
        <v/>
      </c>
      <c r="AE208" s="54" t="str">
        <f>IF($B208="","",IF(NOT(ISNUMBER($AA208)),"Aguardando fechamento",IF($P208&gt;0,"ACAO: "&amp;TEXT($P208,"0")&amp;" carga(s) terceirizada(s) de forma evitavel",IF(IF(ISNUMBER($Z208),$Z208,0)&gt;IFERROR(INDEX(Parâmetros!$G$5:$G$10,MATCH($C208,Parâmetros!$B$5:$B$10,0)),""),"ALERTA: terceiros acima da meta",IF($AA208&gt;IFERROR(INDEX(Parâmetros!$D$5:$D$10,MATCH($C208,Parâmetros!$B$5:$B$10,0)),""),"ALERTA: custo/km acima da meta","OK - dentro das metas")))))</f>
        <v/>
      </c>
    </row>
    <row r="209" spans="2:31" ht="15" customHeight="1" x14ac:dyDescent="0.3">
      <c r="B209" s="48"/>
      <c r="C209" s="49"/>
      <c r="D209" s="50"/>
      <c r="E209" s="51"/>
      <c r="F209" s="52"/>
      <c r="G209" s="51"/>
      <c r="H209" s="51"/>
      <c r="I209" s="53" t="str">
        <f>IF($B209="","",IFERROR($G209*IFERROR(INDEX(Parâmetros!$C$5:$C$10,MATCH($C209,Parâmetros!$B$5:$B$10,0)),"")/Parâmetros!$C$13,""))</f>
        <v/>
      </c>
      <c r="J209" s="53" t="str">
        <f>IF($B209="","",IFERROR($E209*IFERROR(INDEX(Parâmetros!$E$5:$E$10,MATCH($C209,Parâmetros!$B$5:$B$10,0)),"")-$I209,""))</f>
        <v/>
      </c>
      <c r="K209" s="54" t="str">
        <f>IF($B209="","",IF(NOT(ISNUMBER($J209)),"",IF($J209&lt;=0,"OK - frota cobre a meta do dia",IF($J209&lt;=Parâmetros!$C$15,"ATENCAO - faltam "&amp;TEXT($J209,"0")&amp;" viagem(ns) de frota","CRITICO - faltam "&amp;TEXT($J209,"0")&amp;" viagens: acionar plano"))))</f>
        <v/>
      </c>
      <c r="L209" s="51"/>
      <c r="M209" s="51"/>
      <c r="N209" s="51"/>
      <c r="O209" s="50"/>
      <c r="P209" s="51"/>
      <c r="Q209" s="51"/>
      <c r="R209" s="55"/>
      <c r="S209" s="56"/>
      <c r="T209" s="56"/>
      <c r="U209" s="56"/>
      <c r="V209" s="19"/>
      <c r="W209" s="51"/>
      <c r="X209" s="57" t="str">
        <f t="shared" si="21"/>
        <v/>
      </c>
      <c r="Y209" s="57" t="str">
        <f t="shared" si="22"/>
        <v/>
      </c>
      <c r="Z209" s="57" t="str">
        <f t="shared" si="23"/>
        <v/>
      </c>
      <c r="AA209" s="58" t="str">
        <f t="shared" si="24"/>
        <v/>
      </c>
      <c r="AB209" s="58" t="str">
        <f t="shared" si="25"/>
        <v/>
      </c>
      <c r="AC209" s="57" t="str">
        <f t="shared" si="26"/>
        <v/>
      </c>
      <c r="AD209" s="59" t="str">
        <f t="shared" si="27"/>
        <v/>
      </c>
      <c r="AE209" s="54" t="str">
        <f>IF($B209="","",IF(NOT(ISNUMBER($AA209)),"Aguardando fechamento",IF($P209&gt;0,"ACAO: "&amp;TEXT($P209,"0")&amp;" carga(s) terceirizada(s) de forma evitavel",IF(IF(ISNUMBER($Z209),$Z209,0)&gt;IFERROR(INDEX(Parâmetros!$G$5:$G$10,MATCH($C209,Parâmetros!$B$5:$B$10,0)),""),"ALERTA: terceiros acima da meta",IF($AA209&gt;IFERROR(INDEX(Parâmetros!$D$5:$D$10,MATCH($C209,Parâmetros!$B$5:$B$10,0)),""),"ALERTA: custo/km acima da meta","OK - dentro das metas")))))</f>
        <v/>
      </c>
    </row>
    <row r="210" spans="2:31" ht="15" customHeight="1" x14ac:dyDescent="0.3">
      <c r="B210" s="48"/>
      <c r="C210" s="49"/>
      <c r="D210" s="50"/>
      <c r="E210" s="51"/>
      <c r="F210" s="52"/>
      <c r="G210" s="51"/>
      <c r="H210" s="51"/>
      <c r="I210" s="53" t="str">
        <f>IF($B210="","",IFERROR($G210*IFERROR(INDEX(Parâmetros!$C$5:$C$10,MATCH($C210,Parâmetros!$B$5:$B$10,0)),"")/Parâmetros!$C$13,""))</f>
        <v/>
      </c>
      <c r="J210" s="53" t="str">
        <f>IF($B210="","",IFERROR($E210*IFERROR(INDEX(Parâmetros!$E$5:$E$10,MATCH($C210,Parâmetros!$B$5:$B$10,0)),"")-$I210,""))</f>
        <v/>
      </c>
      <c r="K210" s="54" t="str">
        <f>IF($B210="","",IF(NOT(ISNUMBER($J210)),"",IF($J210&lt;=0,"OK - frota cobre a meta do dia",IF($J210&lt;=Parâmetros!$C$15,"ATENCAO - faltam "&amp;TEXT($J210,"0")&amp;" viagem(ns) de frota","CRITICO - faltam "&amp;TEXT($J210,"0")&amp;" viagens: acionar plano"))))</f>
        <v/>
      </c>
      <c r="L210" s="51"/>
      <c r="M210" s="51"/>
      <c r="N210" s="51"/>
      <c r="O210" s="50"/>
      <c r="P210" s="51"/>
      <c r="Q210" s="51"/>
      <c r="R210" s="55"/>
      <c r="S210" s="56"/>
      <c r="T210" s="56"/>
      <c r="U210" s="56"/>
      <c r="V210" s="19"/>
      <c r="W210" s="51"/>
      <c r="X210" s="57" t="str">
        <f t="shared" si="21"/>
        <v/>
      </c>
      <c r="Y210" s="57" t="str">
        <f t="shared" si="22"/>
        <v/>
      </c>
      <c r="Z210" s="57" t="str">
        <f t="shared" si="23"/>
        <v/>
      </c>
      <c r="AA210" s="58" t="str">
        <f t="shared" si="24"/>
        <v/>
      </c>
      <c r="AB210" s="58" t="str">
        <f t="shared" si="25"/>
        <v/>
      </c>
      <c r="AC210" s="57" t="str">
        <f t="shared" si="26"/>
        <v/>
      </c>
      <c r="AD210" s="59" t="str">
        <f t="shared" si="27"/>
        <v/>
      </c>
      <c r="AE210" s="54" t="str">
        <f>IF($B210="","",IF(NOT(ISNUMBER($AA210)),"Aguardando fechamento",IF($P210&gt;0,"ACAO: "&amp;TEXT($P210,"0")&amp;" carga(s) terceirizada(s) de forma evitavel",IF(IF(ISNUMBER($Z210),$Z210,0)&gt;IFERROR(INDEX(Parâmetros!$G$5:$G$10,MATCH($C210,Parâmetros!$B$5:$B$10,0)),""),"ALERTA: terceiros acima da meta",IF($AA210&gt;IFERROR(INDEX(Parâmetros!$D$5:$D$10,MATCH($C210,Parâmetros!$B$5:$B$10,0)),""),"ALERTA: custo/km acima da meta","OK - dentro das metas")))))</f>
        <v/>
      </c>
    </row>
    <row r="211" spans="2:31" ht="15" customHeight="1" x14ac:dyDescent="0.3">
      <c r="B211" s="48"/>
      <c r="C211" s="49"/>
      <c r="D211" s="50"/>
      <c r="E211" s="51"/>
      <c r="F211" s="52"/>
      <c r="G211" s="51"/>
      <c r="H211" s="51"/>
      <c r="I211" s="53" t="str">
        <f>IF($B211="","",IFERROR($G211*IFERROR(INDEX(Parâmetros!$C$5:$C$10,MATCH($C211,Parâmetros!$B$5:$B$10,0)),"")/Parâmetros!$C$13,""))</f>
        <v/>
      </c>
      <c r="J211" s="53" t="str">
        <f>IF($B211="","",IFERROR($E211*IFERROR(INDEX(Parâmetros!$E$5:$E$10,MATCH($C211,Parâmetros!$B$5:$B$10,0)),"")-$I211,""))</f>
        <v/>
      </c>
      <c r="K211" s="54" t="str">
        <f>IF($B211="","",IF(NOT(ISNUMBER($J211)),"",IF($J211&lt;=0,"OK - frota cobre a meta do dia",IF($J211&lt;=Parâmetros!$C$15,"ATENCAO - faltam "&amp;TEXT($J211,"0")&amp;" viagem(ns) de frota","CRITICO - faltam "&amp;TEXT($J211,"0")&amp;" viagens: acionar plano"))))</f>
        <v/>
      </c>
      <c r="L211" s="51"/>
      <c r="M211" s="51"/>
      <c r="N211" s="51"/>
      <c r="O211" s="50"/>
      <c r="P211" s="51"/>
      <c r="Q211" s="51"/>
      <c r="R211" s="55"/>
      <c r="S211" s="56"/>
      <c r="T211" s="56"/>
      <c r="U211" s="56"/>
      <c r="V211" s="19"/>
      <c r="W211" s="51"/>
      <c r="X211" s="57" t="str">
        <f t="shared" si="21"/>
        <v/>
      </c>
      <c r="Y211" s="57" t="str">
        <f t="shared" si="22"/>
        <v/>
      </c>
      <c r="Z211" s="57" t="str">
        <f t="shared" si="23"/>
        <v/>
      </c>
      <c r="AA211" s="58" t="str">
        <f t="shared" si="24"/>
        <v/>
      </c>
      <c r="AB211" s="58" t="str">
        <f t="shared" si="25"/>
        <v/>
      </c>
      <c r="AC211" s="57" t="str">
        <f t="shared" si="26"/>
        <v/>
      </c>
      <c r="AD211" s="59" t="str">
        <f t="shared" si="27"/>
        <v/>
      </c>
      <c r="AE211" s="54" t="str">
        <f>IF($B211="","",IF(NOT(ISNUMBER($AA211)),"Aguardando fechamento",IF($P211&gt;0,"ACAO: "&amp;TEXT($P211,"0")&amp;" carga(s) terceirizada(s) de forma evitavel",IF(IF(ISNUMBER($Z211),$Z211,0)&gt;IFERROR(INDEX(Parâmetros!$G$5:$G$10,MATCH($C211,Parâmetros!$B$5:$B$10,0)),""),"ALERTA: terceiros acima da meta",IF($AA211&gt;IFERROR(INDEX(Parâmetros!$D$5:$D$10,MATCH($C211,Parâmetros!$B$5:$B$10,0)),""),"ALERTA: custo/km acima da meta","OK - dentro das metas")))))</f>
        <v/>
      </c>
    </row>
    <row r="212" spans="2:31" ht="15" customHeight="1" x14ac:dyDescent="0.3">
      <c r="B212" s="48"/>
      <c r="C212" s="49"/>
      <c r="D212" s="50"/>
      <c r="E212" s="51"/>
      <c r="F212" s="52"/>
      <c r="G212" s="51"/>
      <c r="H212" s="51"/>
      <c r="I212" s="53" t="str">
        <f>IF($B212="","",IFERROR($G212*IFERROR(INDEX(Parâmetros!$C$5:$C$10,MATCH($C212,Parâmetros!$B$5:$B$10,0)),"")/Parâmetros!$C$13,""))</f>
        <v/>
      </c>
      <c r="J212" s="53" t="str">
        <f>IF($B212="","",IFERROR($E212*IFERROR(INDEX(Parâmetros!$E$5:$E$10,MATCH($C212,Parâmetros!$B$5:$B$10,0)),"")-$I212,""))</f>
        <v/>
      </c>
      <c r="K212" s="54" t="str">
        <f>IF($B212="","",IF(NOT(ISNUMBER($J212)),"",IF($J212&lt;=0,"OK - frota cobre a meta do dia",IF($J212&lt;=Parâmetros!$C$15,"ATENCAO - faltam "&amp;TEXT($J212,"0")&amp;" viagem(ns) de frota","CRITICO - faltam "&amp;TEXT($J212,"0")&amp;" viagens: acionar plano"))))</f>
        <v/>
      </c>
      <c r="L212" s="51"/>
      <c r="M212" s="51"/>
      <c r="N212" s="51"/>
      <c r="O212" s="50"/>
      <c r="P212" s="51"/>
      <c r="Q212" s="51"/>
      <c r="R212" s="55"/>
      <c r="S212" s="56"/>
      <c r="T212" s="56"/>
      <c r="U212" s="56"/>
      <c r="V212" s="19"/>
      <c r="W212" s="51"/>
      <c r="X212" s="57" t="str">
        <f t="shared" si="21"/>
        <v/>
      </c>
      <c r="Y212" s="57" t="str">
        <f t="shared" si="22"/>
        <v/>
      </c>
      <c r="Z212" s="57" t="str">
        <f t="shared" si="23"/>
        <v/>
      </c>
      <c r="AA212" s="58" t="str">
        <f t="shared" si="24"/>
        <v/>
      </c>
      <c r="AB212" s="58" t="str">
        <f t="shared" si="25"/>
        <v/>
      </c>
      <c r="AC212" s="57" t="str">
        <f t="shared" si="26"/>
        <v/>
      </c>
      <c r="AD212" s="59" t="str">
        <f t="shared" si="27"/>
        <v/>
      </c>
      <c r="AE212" s="54" t="str">
        <f>IF($B212="","",IF(NOT(ISNUMBER($AA212)),"Aguardando fechamento",IF($P212&gt;0,"ACAO: "&amp;TEXT($P212,"0")&amp;" carga(s) terceirizada(s) de forma evitavel",IF(IF(ISNUMBER($Z212),$Z212,0)&gt;IFERROR(INDEX(Parâmetros!$G$5:$G$10,MATCH($C212,Parâmetros!$B$5:$B$10,0)),""),"ALERTA: terceiros acima da meta",IF($AA212&gt;IFERROR(INDEX(Parâmetros!$D$5:$D$10,MATCH($C212,Parâmetros!$B$5:$B$10,0)),""),"ALERTA: custo/km acima da meta","OK - dentro das metas")))))</f>
        <v/>
      </c>
    </row>
    <row r="213" spans="2:31" ht="15" customHeight="1" x14ac:dyDescent="0.3">
      <c r="B213" s="48"/>
      <c r="C213" s="49"/>
      <c r="D213" s="50"/>
      <c r="E213" s="51"/>
      <c r="F213" s="52"/>
      <c r="G213" s="51"/>
      <c r="H213" s="51"/>
      <c r="I213" s="53" t="str">
        <f>IF($B213="","",IFERROR($G213*IFERROR(INDEX(Parâmetros!$C$5:$C$10,MATCH($C213,Parâmetros!$B$5:$B$10,0)),"")/Parâmetros!$C$13,""))</f>
        <v/>
      </c>
      <c r="J213" s="53" t="str">
        <f>IF($B213="","",IFERROR($E213*IFERROR(INDEX(Parâmetros!$E$5:$E$10,MATCH($C213,Parâmetros!$B$5:$B$10,0)),"")-$I213,""))</f>
        <v/>
      </c>
      <c r="K213" s="54" t="str">
        <f>IF($B213="","",IF(NOT(ISNUMBER($J213)),"",IF($J213&lt;=0,"OK - frota cobre a meta do dia",IF($J213&lt;=Parâmetros!$C$15,"ATENCAO - faltam "&amp;TEXT($J213,"0")&amp;" viagem(ns) de frota","CRITICO - faltam "&amp;TEXT($J213,"0")&amp;" viagens: acionar plano"))))</f>
        <v/>
      </c>
      <c r="L213" s="51"/>
      <c r="M213" s="51"/>
      <c r="N213" s="51"/>
      <c r="O213" s="50"/>
      <c r="P213" s="51"/>
      <c r="Q213" s="51"/>
      <c r="R213" s="55"/>
      <c r="S213" s="56"/>
      <c r="T213" s="56"/>
      <c r="U213" s="56"/>
      <c r="V213" s="19"/>
      <c r="W213" s="51"/>
      <c r="X213" s="57" t="str">
        <f t="shared" si="21"/>
        <v/>
      </c>
      <c r="Y213" s="57" t="str">
        <f t="shared" si="22"/>
        <v/>
      </c>
      <c r="Z213" s="57" t="str">
        <f t="shared" si="23"/>
        <v/>
      </c>
      <c r="AA213" s="58" t="str">
        <f t="shared" si="24"/>
        <v/>
      </c>
      <c r="AB213" s="58" t="str">
        <f t="shared" si="25"/>
        <v/>
      </c>
      <c r="AC213" s="57" t="str">
        <f t="shared" si="26"/>
        <v/>
      </c>
      <c r="AD213" s="59" t="str">
        <f t="shared" si="27"/>
        <v/>
      </c>
      <c r="AE213" s="54" t="str">
        <f>IF($B213="","",IF(NOT(ISNUMBER($AA213)),"Aguardando fechamento",IF($P213&gt;0,"ACAO: "&amp;TEXT($P213,"0")&amp;" carga(s) terceirizada(s) de forma evitavel",IF(IF(ISNUMBER($Z213),$Z213,0)&gt;IFERROR(INDEX(Parâmetros!$G$5:$G$10,MATCH($C213,Parâmetros!$B$5:$B$10,0)),""),"ALERTA: terceiros acima da meta",IF($AA213&gt;IFERROR(INDEX(Parâmetros!$D$5:$D$10,MATCH($C213,Parâmetros!$B$5:$B$10,0)),""),"ALERTA: custo/km acima da meta","OK - dentro das metas")))))</f>
        <v/>
      </c>
    </row>
    <row r="214" spans="2:31" ht="15" customHeight="1" x14ac:dyDescent="0.3">
      <c r="B214" s="48"/>
      <c r="C214" s="49"/>
      <c r="D214" s="50"/>
      <c r="E214" s="51"/>
      <c r="F214" s="52"/>
      <c r="G214" s="51"/>
      <c r="H214" s="51"/>
      <c r="I214" s="53" t="str">
        <f>IF($B214="","",IFERROR($G214*IFERROR(INDEX(Parâmetros!$C$5:$C$10,MATCH($C214,Parâmetros!$B$5:$B$10,0)),"")/Parâmetros!$C$13,""))</f>
        <v/>
      </c>
      <c r="J214" s="53" t="str">
        <f>IF($B214="","",IFERROR($E214*IFERROR(INDEX(Parâmetros!$E$5:$E$10,MATCH($C214,Parâmetros!$B$5:$B$10,0)),"")-$I214,""))</f>
        <v/>
      </c>
      <c r="K214" s="54" t="str">
        <f>IF($B214="","",IF(NOT(ISNUMBER($J214)),"",IF($J214&lt;=0,"OK - frota cobre a meta do dia",IF($J214&lt;=Parâmetros!$C$15,"ATENCAO - faltam "&amp;TEXT($J214,"0")&amp;" viagem(ns) de frota","CRITICO - faltam "&amp;TEXT($J214,"0")&amp;" viagens: acionar plano"))))</f>
        <v/>
      </c>
      <c r="L214" s="51"/>
      <c r="M214" s="51"/>
      <c r="N214" s="51"/>
      <c r="O214" s="50"/>
      <c r="P214" s="51"/>
      <c r="Q214" s="51"/>
      <c r="R214" s="55"/>
      <c r="S214" s="56"/>
      <c r="T214" s="56"/>
      <c r="U214" s="56"/>
      <c r="V214" s="19"/>
      <c r="W214" s="51"/>
      <c r="X214" s="57" t="str">
        <f t="shared" si="21"/>
        <v/>
      </c>
      <c r="Y214" s="57" t="str">
        <f t="shared" si="22"/>
        <v/>
      </c>
      <c r="Z214" s="57" t="str">
        <f t="shared" si="23"/>
        <v/>
      </c>
      <c r="AA214" s="58" t="str">
        <f t="shared" si="24"/>
        <v/>
      </c>
      <c r="AB214" s="58" t="str">
        <f t="shared" si="25"/>
        <v/>
      </c>
      <c r="AC214" s="57" t="str">
        <f t="shared" si="26"/>
        <v/>
      </c>
      <c r="AD214" s="59" t="str">
        <f t="shared" si="27"/>
        <v/>
      </c>
      <c r="AE214" s="54" t="str">
        <f>IF($B214="","",IF(NOT(ISNUMBER($AA214)),"Aguardando fechamento",IF($P214&gt;0,"ACAO: "&amp;TEXT($P214,"0")&amp;" carga(s) terceirizada(s) de forma evitavel",IF(IF(ISNUMBER($Z214),$Z214,0)&gt;IFERROR(INDEX(Parâmetros!$G$5:$G$10,MATCH($C214,Parâmetros!$B$5:$B$10,0)),""),"ALERTA: terceiros acima da meta",IF($AA214&gt;IFERROR(INDEX(Parâmetros!$D$5:$D$10,MATCH($C214,Parâmetros!$B$5:$B$10,0)),""),"ALERTA: custo/km acima da meta","OK - dentro das metas")))))</f>
        <v/>
      </c>
    </row>
    <row r="215" spans="2:31" ht="15" customHeight="1" x14ac:dyDescent="0.3">
      <c r="B215" s="48"/>
      <c r="C215" s="49"/>
      <c r="D215" s="50"/>
      <c r="E215" s="51"/>
      <c r="F215" s="52"/>
      <c r="G215" s="51"/>
      <c r="H215" s="51"/>
      <c r="I215" s="53" t="str">
        <f>IF($B215="","",IFERROR($G215*IFERROR(INDEX(Parâmetros!$C$5:$C$10,MATCH($C215,Parâmetros!$B$5:$B$10,0)),"")/Parâmetros!$C$13,""))</f>
        <v/>
      </c>
      <c r="J215" s="53" t="str">
        <f>IF($B215="","",IFERROR($E215*IFERROR(INDEX(Parâmetros!$E$5:$E$10,MATCH($C215,Parâmetros!$B$5:$B$10,0)),"")-$I215,""))</f>
        <v/>
      </c>
      <c r="K215" s="54" t="str">
        <f>IF($B215="","",IF(NOT(ISNUMBER($J215)),"",IF($J215&lt;=0,"OK - frota cobre a meta do dia",IF($J215&lt;=Parâmetros!$C$15,"ATENCAO - faltam "&amp;TEXT($J215,"0")&amp;" viagem(ns) de frota","CRITICO - faltam "&amp;TEXT($J215,"0")&amp;" viagens: acionar plano"))))</f>
        <v/>
      </c>
      <c r="L215" s="51"/>
      <c r="M215" s="51"/>
      <c r="N215" s="51"/>
      <c r="O215" s="50"/>
      <c r="P215" s="51"/>
      <c r="Q215" s="51"/>
      <c r="R215" s="55"/>
      <c r="S215" s="56"/>
      <c r="T215" s="56"/>
      <c r="U215" s="56"/>
      <c r="V215" s="19"/>
      <c r="W215" s="51"/>
      <c r="X215" s="57" t="str">
        <f t="shared" si="21"/>
        <v/>
      </c>
      <c r="Y215" s="57" t="str">
        <f t="shared" si="22"/>
        <v/>
      </c>
      <c r="Z215" s="57" t="str">
        <f t="shared" si="23"/>
        <v/>
      </c>
      <c r="AA215" s="58" t="str">
        <f t="shared" si="24"/>
        <v/>
      </c>
      <c r="AB215" s="58" t="str">
        <f t="shared" si="25"/>
        <v/>
      </c>
      <c r="AC215" s="57" t="str">
        <f t="shared" si="26"/>
        <v/>
      </c>
      <c r="AD215" s="59" t="str">
        <f t="shared" si="27"/>
        <v/>
      </c>
      <c r="AE215" s="54" t="str">
        <f>IF($B215="","",IF(NOT(ISNUMBER($AA215)),"Aguardando fechamento",IF($P215&gt;0,"ACAO: "&amp;TEXT($P215,"0")&amp;" carga(s) terceirizada(s) de forma evitavel",IF(IF(ISNUMBER($Z215),$Z215,0)&gt;IFERROR(INDEX(Parâmetros!$G$5:$G$10,MATCH($C215,Parâmetros!$B$5:$B$10,0)),""),"ALERTA: terceiros acima da meta",IF($AA215&gt;IFERROR(INDEX(Parâmetros!$D$5:$D$10,MATCH($C215,Parâmetros!$B$5:$B$10,0)),""),"ALERTA: custo/km acima da meta","OK - dentro das metas")))))</f>
        <v/>
      </c>
    </row>
    <row r="216" spans="2:31" ht="15" customHeight="1" x14ac:dyDescent="0.3">
      <c r="B216" s="48"/>
      <c r="C216" s="49"/>
      <c r="D216" s="50"/>
      <c r="E216" s="51"/>
      <c r="F216" s="52"/>
      <c r="G216" s="51"/>
      <c r="H216" s="51"/>
      <c r="I216" s="53" t="str">
        <f>IF($B216="","",IFERROR($G216*IFERROR(INDEX(Parâmetros!$C$5:$C$10,MATCH($C216,Parâmetros!$B$5:$B$10,0)),"")/Parâmetros!$C$13,""))</f>
        <v/>
      </c>
      <c r="J216" s="53" t="str">
        <f>IF($B216="","",IFERROR($E216*IFERROR(INDEX(Parâmetros!$E$5:$E$10,MATCH($C216,Parâmetros!$B$5:$B$10,0)),"")-$I216,""))</f>
        <v/>
      </c>
      <c r="K216" s="54" t="str">
        <f>IF($B216="","",IF(NOT(ISNUMBER($J216)),"",IF($J216&lt;=0,"OK - frota cobre a meta do dia",IF($J216&lt;=Parâmetros!$C$15,"ATENCAO - faltam "&amp;TEXT($J216,"0")&amp;" viagem(ns) de frota","CRITICO - faltam "&amp;TEXT($J216,"0")&amp;" viagens: acionar plano"))))</f>
        <v/>
      </c>
      <c r="L216" s="51"/>
      <c r="M216" s="51"/>
      <c r="N216" s="51"/>
      <c r="O216" s="50"/>
      <c r="P216" s="51"/>
      <c r="Q216" s="51"/>
      <c r="R216" s="55"/>
      <c r="S216" s="56"/>
      <c r="T216" s="56"/>
      <c r="U216" s="56"/>
      <c r="V216" s="19"/>
      <c r="W216" s="51"/>
      <c r="X216" s="57" t="str">
        <f t="shared" si="21"/>
        <v/>
      </c>
      <c r="Y216" s="57" t="str">
        <f t="shared" si="22"/>
        <v/>
      </c>
      <c r="Z216" s="57" t="str">
        <f t="shared" si="23"/>
        <v/>
      </c>
      <c r="AA216" s="58" t="str">
        <f t="shared" si="24"/>
        <v/>
      </c>
      <c r="AB216" s="58" t="str">
        <f t="shared" si="25"/>
        <v/>
      </c>
      <c r="AC216" s="57" t="str">
        <f t="shared" si="26"/>
        <v/>
      </c>
      <c r="AD216" s="59" t="str">
        <f t="shared" si="27"/>
        <v/>
      </c>
      <c r="AE216" s="54" t="str">
        <f>IF($B216="","",IF(NOT(ISNUMBER($AA216)),"Aguardando fechamento",IF($P216&gt;0,"ACAO: "&amp;TEXT($P216,"0")&amp;" carga(s) terceirizada(s) de forma evitavel",IF(IF(ISNUMBER($Z216),$Z216,0)&gt;IFERROR(INDEX(Parâmetros!$G$5:$G$10,MATCH($C216,Parâmetros!$B$5:$B$10,0)),""),"ALERTA: terceiros acima da meta",IF($AA216&gt;IFERROR(INDEX(Parâmetros!$D$5:$D$10,MATCH($C216,Parâmetros!$B$5:$B$10,0)),""),"ALERTA: custo/km acima da meta","OK - dentro das metas")))))</f>
        <v/>
      </c>
    </row>
    <row r="217" spans="2:31" ht="15" customHeight="1" x14ac:dyDescent="0.3">
      <c r="B217" s="48"/>
      <c r="C217" s="49"/>
      <c r="D217" s="50"/>
      <c r="E217" s="51"/>
      <c r="F217" s="52"/>
      <c r="G217" s="51"/>
      <c r="H217" s="51"/>
      <c r="I217" s="53" t="str">
        <f>IF($B217="","",IFERROR($G217*IFERROR(INDEX(Parâmetros!$C$5:$C$10,MATCH($C217,Parâmetros!$B$5:$B$10,0)),"")/Parâmetros!$C$13,""))</f>
        <v/>
      </c>
      <c r="J217" s="53" t="str">
        <f>IF($B217="","",IFERROR($E217*IFERROR(INDEX(Parâmetros!$E$5:$E$10,MATCH($C217,Parâmetros!$B$5:$B$10,0)),"")-$I217,""))</f>
        <v/>
      </c>
      <c r="K217" s="54" t="str">
        <f>IF($B217="","",IF(NOT(ISNUMBER($J217)),"",IF($J217&lt;=0,"OK - frota cobre a meta do dia",IF($J217&lt;=Parâmetros!$C$15,"ATENCAO - faltam "&amp;TEXT($J217,"0")&amp;" viagem(ns) de frota","CRITICO - faltam "&amp;TEXT($J217,"0")&amp;" viagens: acionar plano"))))</f>
        <v/>
      </c>
      <c r="L217" s="51"/>
      <c r="M217" s="51"/>
      <c r="N217" s="51"/>
      <c r="O217" s="50"/>
      <c r="P217" s="51"/>
      <c r="Q217" s="51"/>
      <c r="R217" s="55"/>
      <c r="S217" s="56"/>
      <c r="T217" s="56"/>
      <c r="U217" s="56"/>
      <c r="V217" s="19"/>
      <c r="W217" s="51"/>
      <c r="X217" s="57" t="str">
        <f t="shared" si="21"/>
        <v/>
      </c>
      <c r="Y217" s="57" t="str">
        <f t="shared" si="22"/>
        <v/>
      </c>
      <c r="Z217" s="57" t="str">
        <f t="shared" si="23"/>
        <v/>
      </c>
      <c r="AA217" s="58" t="str">
        <f t="shared" si="24"/>
        <v/>
      </c>
      <c r="AB217" s="58" t="str">
        <f t="shared" si="25"/>
        <v/>
      </c>
      <c r="AC217" s="57" t="str">
        <f t="shared" si="26"/>
        <v/>
      </c>
      <c r="AD217" s="59" t="str">
        <f t="shared" si="27"/>
        <v/>
      </c>
      <c r="AE217" s="54" t="str">
        <f>IF($B217="","",IF(NOT(ISNUMBER($AA217)),"Aguardando fechamento",IF($P217&gt;0,"ACAO: "&amp;TEXT($P217,"0")&amp;" carga(s) terceirizada(s) de forma evitavel",IF(IF(ISNUMBER($Z217),$Z217,0)&gt;IFERROR(INDEX(Parâmetros!$G$5:$G$10,MATCH($C217,Parâmetros!$B$5:$B$10,0)),""),"ALERTA: terceiros acima da meta",IF($AA217&gt;IFERROR(INDEX(Parâmetros!$D$5:$D$10,MATCH($C217,Parâmetros!$B$5:$B$10,0)),""),"ALERTA: custo/km acima da meta","OK - dentro das metas")))))</f>
        <v/>
      </c>
    </row>
    <row r="218" spans="2:31" ht="15" customHeight="1" x14ac:dyDescent="0.3">
      <c r="B218" s="48"/>
      <c r="C218" s="49"/>
      <c r="D218" s="50"/>
      <c r="E218" s="51"/>
      <c r="F218" s="52"/>
      <c r="G218" s="51"/>
      <c r="H218" s="51"/>
      <c r="I218" s="53" t="str">
        <f>IF($B218="","",IFERROR($G218*IFERROR(INDEX(Parâmetros!$C$5:$C$10,MATCH($C218,Parâmetros!$B$5:$B$10,0)),"")/Parâmetros!$C$13,""))</f>
        <v/>
      </c>
      <c r="J218" s="53" t="str">
        <f>IF($B218="","",IFERROR($E218*IFERROR(INDEX(Parâmetros!$E$5:$E$10,MATCH($C218,Parâmetros!$B$5:$B$10,0)),"")-$I218,""))</f>
        <v/>
      </c>
      <c r="K218" s="54" t="str">
        <f>IF($B218="","",IF(NOT(ISNUMBER($J218)),"",IF($J218&lt;=0,"OK - frota cobre a meta do dia",IF($J218&lt;=Parâmetros!$C$15,"ATENCAO - faltam "&amp;TEXT($J218,"0")&amp;" viagem(ns) de frota","CRITICO - faltam "&amp;TEXT($J218,"0")&amp;" viagens: acionar plano"))))</f>
        <v/>
      </c>
      <c r="L218" s="51"/>
      <c r="M218" s="51"/>
      <c r="N218" s="51"/>
      <c r="O218" s="50"/>
      <c r="P218" s="51"/>
      <c r="Q218" s="51"/>
      <c r="R218" s="55"/>
      <c r="S218" s="56"/>
      <c r="T218" s="56"/>
      <c r="U218" s="56"/>
      <c r="V218" s="19"/>
      <c r="W218" s="51"/>
      <c r="X218" s="57" t="str">
        <f t="shared" si="21"/>
        <v/>
      </c>
      <c r="Y218" s="57" t="str">
        <f t="shared" si="22"/>
        <v/>
      </c>
      <c r="Z218" s="57" t="str">
        <f t="shared" si="23"/>
        <v/>
      </c>
      <c r="AA218" s="58" t="str">
        <f t="shared" si="24"/>
        <v/>
      </c>
      <c r="AB218" s="58" t="str">
        <f t="shared" si="25"/>
        <v/>
      </c>
      <c r="AC218" s="57" t="str">
        <f t="shared" si="26"/>
        <v/>
      </c>
      <c r="AD218" s="59" t="str">
        <f t="shared" si="27"/>
        <v/>
      </c>
      <c r="AE218" s="54" t="str">
        <f>IF($B218="","",IF(NOT(ISNUMBER($AA218)),"Aguardando fechamento",IF($P218&gt;0,"ACAO: "&amp;TEXT($P218,"0")&amp;" carga(s) terceirizada(s) de forma evitavel",IF(IF(ISNUMBER($Z218),$Z218,0)&gt;IFERROR(INDEX(Parâmetros!$G$5:$G$10,MATCH($C218,Parâmetros!$B$5:$B$10,0)),""),"ALERTA: terceiros acima da meta",IF($AA218&gt;IFERROR(INDEX(Parâmetros!$D$5:$D$10,MATCH($C218,Parâmetros!$B$5:$B$10,0)),""),"ALERTA: custo/km acima da meta","OK - dentro das metas")))))</f>
        <v/>
      </c>
    </row>
    <row r="219" spans="2:31" ht="15" customHeight="1" x14ac:dyDescent="0.3">
      <c r="B219" s="48"/>
      <c r="C219" s="49"/>
      <c r="D219" s="50"/>
      <c r="E219" s="51"/>
      <c r="F219" s="52"/>
      <c r="G219" s="51"/>
      <c r="H219" s="51"/>
      <c r="I219" s="53" t="str">
        <f>IF($B219="","",IFERROR($G219*IFERROR(INDEX(Parâmetros!$C$5:$C$10,MATCH($C219,Parâmetros!$B$5:$B$10,0)),"")/Parâmetros!$C$13,""))</f>
        <v/>
      </c>
      <c r="J219" s="53" t="str">
        <f>IF($B219="","",IFERROR($E219*IFERROR(INDEX(Parâmetros!$E$5:$E$10,MATCH($C219,Parâmetros!$B$5:$B$10,0)),"")-$I219,""))</f>
        <v/>
      </c>
      <c r="K219" s="54" t="str">
        <f>IF($B219="","",IF(NOT(ISNUMBER($J219)),"",IF($J219&lt;=0,"OK - frota cobre a meta do dia",IF($J219&lt;=Parâmetros!$C$15,"ATENCAO - faltam "&amp;TEXT($J219,"0")&amp;" viagem(ns) de frota","CRITICO - faltam "&amp;TEXT($J219,"0")&amp;" viagens: acionar plano"))))</f>
        <v/>
      </c>
      <c r="L219" s="51"/>
      <c r="M219" s="51"/>
      <c r="N219" s="51"/>
      <c r="O219" s="50"/>
      <c r="P219" s="51"/>
      <c r="Q219" s="51"/>
      <c r="R219" s="55"/>
      <c r="S219" s="56"/>
      <c r="T219" s="56"/>
      <c r="U219" s="56"/>
      <c r="V219" s="19"/>
      <c r="W219" s="51"/>
      <c r="X219" s="57" t="str">
        <f t="shared" si="21"/>
        <v/>
      </c>
      <c r="Y219" s="57" t="str">
        <f t="shared" si="22"/>
        <v/>
      </c>
      <c r="Z219" s="57" t="str">
        <f t="shared" si="23"/>
        <v/>
      </c>
      <c r="AA219" s="58" t="str">
        <f t="shared" si="24"/>
        <v/>
      </c>
      <c r="AB219" s="58" t="str">
        <f t="shared" si="25"/>
        <v/>
      </c>
      <c r="AC219" s="57" t="str">
        <f t="shared" si="26"/>
        <v/>
      </c>
      <c r="AD219" s="59" t="str">
        <f t="shared" si="27"/>
        <v/>
      </c>
      <c r="AE219" s="54" t="str">
        <f>IF($B219="","",IF(NOT(ISNUMBER($AA219)),"Aguardando fechamento",IF($P219&gt;0,"ACAO: "&amp;TEXT($P219,"0")&amp;" carga(s) terceirizada(s) de forma evitavel",IF(IF(ISNUMBER($Z219),$Z219,0)&gt;IFERROR(INDEX(Parâmetros!$G$5:$G$10,MATCH($C219,Parâmetros!$B$5:$B$10,0)),""),"ALERTA: terceiros acima da meta",IF($AA219&gt;IFERROR(INDEX(Parâmetros!$D$5:$D$10,MATCH($C219,Parâmetros!$B$5:$B$10,0)),""),"ALERTA: custo/km acima da meta","OK - dentro das metas")))))</f>
        <v/>
      </c>
    </row>
    <row r="220" spans="2:31" ht="15" customHeight="1" x14ac:dyDescent="0.3">
      <c r="B220" s="48"/>
      <c r="C220" s="49"/>
      <c r="D220" s="50"/>
      <c r="E220" s="51"/>
      <c r="F220" s="52"/>
      <c r="G220" s="51"/>
      <c r="H220" s="51"/>
      <c r="I220" s="53" t="str">
        <f>IF($B220="","",IFERROR($G220*IFERROR(INDEX(Parâmetros!$C$5:$C$10,MATCH($C220,Parâmetros!$B$5:$B$10,0)),"")/Parâmetros!$C$13,""))</f>
        <v/>
      </c>
      <c r="J220" s="53" t="str">
        <f>IF($B220="","",IFERROR($E220*IFERROR(INDEX(Parâmetros!$E$5:$E$10,MATCH($C220,Parâmetros!$B$5:$B$10,0)),"")-$I220,""))</f>
        <v/>
      </c>
      <c r="K220" s="54" t="str">
        <f>IF($B220="","",IF(NOT(ISNUMBER($J220)),"",IF($J220&lt;=0,"OK - frota cobre a meta do dia",IF($J220&lt;=Parâmetros!$C$15,"ATENCAO - faltam "&amp;TEXT($J220,"0")&amp;" viagem(ns) de frota","CRITICO - faltam "&amp;TEXT($J220,"0")&amp;" viagens: acionar plano"))))</f>
        <v/>
      </c>
      <c r="L220" s="51"/>
      <c r="M220" s="51"/>
      <c r="N220" s="51"/>
      <c r="O220" s="50"/>
      <c r="P220" s="51"/>
      <c r="Q220" s="51"/>
      <c r="R220" s="55"/>
      <c r="S220" s="56"/>
      <c r="T220" s="56"/>
      <c r="U220" s="56"/>
      <c r="V220" s="19"/>
      <c r="W220" s="51"/>
      <c r="X220" s="57" t="str">
        <f t="shared" si="21"/>
        <v/>
      </c>
      <c r="Y220" s="57" t="str">
        <f t="shared" si="22"/>
        <v/>
      </c>
      <c r="Z220" s="57" t="str">
        <f t="shared" si="23"/>
        <v/>
      </c>
      <c r="AA220" s="58" t="str">
        <f t="shared" si="24"/>
        <v/>
      </c>
      <c r="AB220" s="58" t="str">
        <f t="shared" si="25"/>
        <v/>
      </c>
      <c r="AC220" s="57" t="str">
        <f t="shared" si="26"/>
        <v/>
      </c>
      <c r="AD220" s="59" t="str">
        <f t="shared" si="27"/>
        <v/>
      </c>
      <c r="AE220" s="54" t="str">
        <f>IF($B220="","",IF(NOT(ISNUMBER($AA220)),"Aguardando fechamento",IF($P220&gt;0,"ACAO: "&amp;TEXT($P220,"0")&amp;" carga(s) terceirizada(s) de forma evitavel",IF(IF(ISNUMBER($Z220),$Z220,0)&gt;IFERROR(INDEX(Parâmetros!$G$5:$G$10,MATCH($C220,Parâmetros!$B$5:$B$10,0)),""),"ALERTA: terceiros acima da meta",IF($AA220&gt;IFERROR(INDEX(Parâmetros!$D$5:$D$10,MATCH($C220,Parâmetros!$B$5:$B$10,0)),""),"ALERTA: custo/km acima da meta","OK - dentro das metas")))))</f>
        <v/>
      </c>
    </row>
    <row r="221" spans="2:31" ht="15" customHeight="1" x14ac:dyDescent="0.3">
      <c r="B221" s="48"/>
      <c r="C221" s="49"/>
      <c r="D221" s="50"/>
      <c r="E221" s="51"/>
      <c r="F221" s="52"/>
      <c r="G221" s="51"/>
      <c r="H221" s="51"/>
      <c r="I221" s="53" t="str">
        <f>IF($B221="","",IFERROR($G221*IFERROR(INDEX(Parâmetros!$C$5:$C$10,MATCH($C221,Parâmetros!$B$5:$B$10,0)),"")/Parâmetros!$C$13,""))</f>
        <v/>
      </c>
      <c r="J221" s="53" t="str">
        <f>IF($B221="","",IFERROR($E221*IFERROR(INDEX(Parâmetros!$E$5:$E$10,MATCH($C221,Parâmetros!$B$5:$B$10,0)),"")-$I221,""))</f>
        <v/>
      </c>
      <c r="K221" s="54" t="str">
        <f>IF($B221="","",IF(NOT(ISNUMBER($J221)),"",IF($J221&lt;=0,"OK - frota cobre a meta do dia",IF($J221&lt;=Parâmetros!$C$15,"ATENCAO - faltam "&amp;TEXT($J221,"0")&amp;" viagem(ns) de frota","CRITICO - faltam "&amp;TEXT($J221,"0")&amp;" viagens: acionar plano"))))</f>
        <v/>
      </c>
      <c r="L221" s="51"/>
      <c r="M221" s="51"/>
      <c r="N221" s="51"/>
      <c r="O221" s="50"/>
      <c r="P221" s="51"/>
      <c r="Q221" s="51"/>
      <c r="R221" s="55"/>
      <c r="S221" s="56"/>
      <c r="T221" s="56"/>
      <c r="U221" s="56"/>
      <c r="V221" s="19"/>
      <c r="W221" s="51"/>
      <c r="X221" s="57" t="str">
        <f t="shared" si="21"/>
        <v/>
      </c>
      <c r="Y221" s="57" t="str">
        <f t="shared" si="22"/>
        <v/>
      </c>
      <c r="Z221" s="57" t="str">
        <f t="shared" si="23"/>
        <v/>
      </c>
      <c r="AA221" s="58" t="str">
        <f t="shared" si="24"/>
        <v/>
      </c>
      <c r="AB221" s="58" t="str">
        <f t="shared" si="25"/>
        <v/>
      </c>
      <c r="AC221" s="57" t="str">
        <f t="shared" si="26"/>
        <v/>
      </c>
      <c r="AD221" s="59" t="str">
        <f t="shared" si="27"/>
        <v/>
      </c>
      <c r="AE221" s="54" t="str">
        <f>IF($B221="","",IF(NOT(ISNUMBER($AA221)),"Aguardando fechamento",IF($P221&gt;0,"ACAO: "&amp;TEXT($P221,"0")&amp;" carga(s) terceirizada(s) de forma evitavel",IF(IF(ISNUMBER($Z221),$Z221,0)&gt;IFERROR(INDEX(Parâmetros!$G$5:$G$10,MATCH($C221,Parâmetros!$B$5:$B$10,0)),""),"ALERTA: terceiros acima da meta",IF($AA221&gt;IFERROR(INDEX(Parâmetros!$D$5:$D$10,MATCH($C221,Parâmetros!$B$5:$B$10,0)),""),"ALERTA: custo/km acima da meta","OK - dentro das metas")))))</f>
        <v/>
      </c>
    </row>
    <row r="222" spans="2:31" ht="15" customHeight="1" x14ac:dyDescent="0.3">
      <c r="B222" s="48"/>
      <c r="C222" s="49"/>
      <c r="D222" s="50"/>
      <c r="E222" s="51"/>
      <c r="F222" s="52"/>
      <c r="G222" s="51"/>
      <c r="H222" s="51"/>
      <c r="I222" s="53" t="str">
        <f>IF($B222="","",IFERROR($G222*IFERROR(INDEX(Parâmetros!$C$5:$C$10,MATCH($C222,Parâmetros!$B$5:$B$10,0)),"")/Parâmetros!$C$13,""))</f>
        <v/>
      </c>
      <c r="J222" s="53" t="str">
        <f>IF($B222="","",IFERROR($E222*IFERROR(INDEX(Parâmetros!$E$5:$E$10,MATCH($C222,Parâmetros!$B$5:$B$10,0)),"")-$I222,""))</f>
        <v/>
      </c>
      <c r="K222" s="54" t="str">
        <f>IF($B222="","",IF(NOT(ISNUMBER($J222)),"",IF($J222&lt;=0,"OK - frota cobre a meta do dia",IF($J222&lt;=Parâmetros!$C$15,"ATENCAO - faltam "&amp;TEXT($J222,"0")&amp;" viagem(ns) de frota","CRITICO - faltam "&amp;TEXT($J222,"0")&amp;" viagens: acionar plano"))))</f>
        <v/>
      </c>
      <c r="L222" s="51"/>
      <c r="M222" s="51"/>
      <c r="N222" s="51"/>
      <c r="O222" s="50"/>
      <c r="P222" s="51"/>
      <c r="Q222" s="51"/>
      <c r="R222" s="55"/>
      <c r="S222" s="56"/>
      <c r="T222" s="56"/>
      <c r="U222" s="56"/>
      <c r="V222" s="19"/>
      <c r="W222" s="51"/>
      <c r="X222" s="57" t="str">
        <f t="shared" si="21"/>
        <v/>
      </c>
      <c r="Y222" s="57" t="str">
        <f t="shared" si="22"/>
        <v/>
      </c>
      <c r="Z222" s="57" t="str">
        <f t="shared" si="23"/>
        <v/>
      </c>
      <c r="AA222" s="58" t="str">
        <f t="shared" si="24"/>
        <v/>
      </c>
      <c r="AB222" s="58" t="str">
        <f t="shared" si="25"/>
        <v/>
      </c>
      <c r="AC222" s="57" t="str">
        <f t="shared" si="26"/>
        <v/>
      </c>
      <c r="AD222" s="59" t="str">
        <f t="shared" si="27"/>
        <v/>
      </c>
      <c r="AE222" s="54" t="str">
        <f>IF($B222="","",IF(NOT(ISNUMBER($AA222)),"Aguardando fechamento",IF($P222&gt;0,"ACAO: "&amp;TEXT($P222,"0")&amp;" carga(s) terceirizada(s) de forma evitavel",IF(IF(ISNUMBER($Z222),$Z222,0)&gt;IFERROR(INDEX(Parâmetros!$G$5:$G$10,MATCH($C222,Parâmetros!$B$5:$B$10,0)),""),"ALERTA: terceiros acima da meta",IF($AA222&gt;IFERROR(INDEX(Parâmetros!$D$5:$D$10,MATCH($C222,Parâmetros!$B$5:$B$10,0)),""),"ALERTA: custo/km acima da meta","OK - dentro das metas")))))</f>
        <v/>
      </c>
    </row>
    <row r="223" spans="2:31" ht="15" customHeight="1" x14ac:dyDescent="0.3">
      <c r="B223" s="48"/>
      <c r="C223" s="49"/>
      <c r="D223" s="50"/>
      <c r="E223" s="51"/>
      <c r="F223" s="52"/>
      <c r="G223" s="51"/>
      <c r="H223" s="51"/>
      <c r="I223" s="53" t="str">
        <f>IF($B223="","",IFERROR($G223*IFERROR(INDEX(Parâmetros!$C$5:$C$10,MATCH($C223,Parâmetros!$B$5:$B$10,0)),"")/Parâmetros!$C$13,""))</f>
        <v/>
      </c>
      <c r="J223" s="53" t="str">
        <f>IF($B223="","",IFERROR($E223*IFERROR(INDEX(Parâmetros!$E$5:$E$10,MATCH($C223,Parâmetros!$B$5:$B$10,0)),"")-$I223,""))</f>
        <v/>
      </c>
      <c r="K223" s="54" t="str">
        <f>IF($B223="","",IF(NOT(ISNUMBER($J223)),"",IF($J223&lt;=0,"OK - frota cobre a meta do dia",IF($J223&lt;=Parâmetros!$C$15,"ATENCAO - faltam "&amp;TEXT($J223,"0")&amp;" viagem(ns) de frota","CRITICO - faltam "&amp;TEXT($J223,"0")&amp;" viagens: acionar plano"))))</f>
        <v/>
      </c>
      <c r="L223" s="51"/>
      <c r="M223" s="51"/>
      <c r="N223" s="51"/>
      <c r="O223" s="50"/>
      <c r="P223" s="51"/>
      <c r="Q223" s="51"/>
      <c r="R223" s="55"/>
      <c r="S223" s="56"/>
      <c r="T223" s="56"/>
      <c r="U223" s="56"/>
      <c r="V223" s="19"/>
      <c r="W223" s="51"/>
      <c r="X223" s="57" t="str">
        <f t="shared" si="21"/>
        <v/>
      </c>
      <c r="Y223" s="57" t="str">
        <f t="shared" si="22"/>
        <v/>
      </c>
      <c r="Z223" s="57" t="str">
        <f t="shared" si="23"/>
        <v/>
      </c>
      <c r="AA223" s="58" t="str">
        <f t="shared" si="24"/>
        <v/>
      </c>
      <c r="AB223" s="58" t="str">
        <f t="shared" si="25"/>
        <v/>
      </c>
      <c r="AC223" s="57" t="str">
        <f t="shared" si="26"/>
        <v/>
      </c>
      <c r="AD223" s="59" t="str">
        <f t="shared" si="27"/>
        <v/>
      </c>
      <c r="AE223" s="54" t="str">
        <f>IF($B223="","",IF(NOT(ISNUMBER($AA223)),"Aguardando fechamento",IF($P223&gt;0,"ACAO: "&amp;TEXT($P223,"0")&amp;" carga(s) terceirizada(s) de forma evitavel",IF(IF(ISNUMBER($Z223),$Z223,0)&gt;IFERROR(INDEX(Parâmetros!$G$5:$G$10,MATCH($C223,Parâmetros!$B$5:$B$10,0)),""),"ALERTA: terceiros acima da meta",IF($AA223&gt;IFERROR(INDEX(Parâmetros!$D$5:$D$10,MATCH($C223,Parâmetros!$B$5:$B$10,0)),""),"ALERTA: custo/km acima da meta","OK - dentro das metas")))))</f>
        <v/>
      </c>
    </row>
    <row r="224" spans="2:31" ht="15" customHeight="1" x14ac:dyDescent="0.3">
      <c r="B224" s="48"/>
      <c r="C224" s="49"/>
      <c r="D224" s="50"/>
      <c r="E224" s="51"/>
      <c r="F224" s="52"/>
      <c r="G224" s="51"/>
      <c r="H224" s="51"/>
      <c r="I224" s="53" t="str">
        <f>IF($B224="","",IFERROR($G224*IFERROR(INDEX(Parâmetros!$C$5:$C$10,MATCH($C224,Parâmetros!$B$5:$B$10,0)),"")/Parâmetros!$C$13,""))</f>
        <v/>
      </c>
      <c r="J224" s="53" t="str">
        <f>IF($B224="","",IFERROR($E224*IFERROR(INDEX(Parâmetros!$E$5:$E$10,MATCH($C224,Parâmetros!$B$5:$B$10,0)),"")-$I224,""))</f>
        <v/>
      </c>
      <c r="K224" s="54" t="str">
        <f>IF($B224="","",IF(NOT(ISNUMBER($J224)),"",IF($J224&lt;=0,"OK - frota cobre a meta do dia",IF($J224&lt;=Parâmetros!$C$15,"ATENCAO - faltam "&amp;TEXT($J224,"0")&amp;" viagem(ns) de frota","CRITICO - faltam "&amp;TEXT($J224,"0")&amp;" viagens: acionar plano"))))</f>
        <v/>
      </c>
      <c r="L224" s="51"/>
      <c r="M224" s="51"/>
      <c r="N224" s="51"/>
      <c r="O224" s="50"/>
      <c r="P224" s="51"/>
      <c r="Q224" s="51"/>
      <c r="R224" s="55"/>
      <c r="S224" s="56"/>
      <c r="T224" s="56"/>
      <c r="U224" s="56"/>
      <c r="V224" s="19"/>
      <c r="W224" s="51"/>
      <c r="X224" s="57" t="str">
        <f t="shared" si="21"/>
        <v/>
      </c>
      <c r="Y224" s="57" t="str">
        <f t="shared" si="22"/>
        <v/>
      </c>
      <c r="Z224" s="57" t="str">
        <f t="shared" si="23"/>
        <v/>
      </c>
      <c r="AA224" s="58" t="str">
        <f t="shared" si="24"/>
        <v/>
      </c>
      <c r="AB224" s="58" t="str">
        <f t="shared" si="25"/>
        <v/>
      </c>
      <c r="AC224" s="57" t="str">
        <f t="shared" si="26"/>
        <v/>
      </c>
      <c r="AD224" s="59" t="str">
        <f t="shared" si="27"/>
        <v/>
      </c>
      <c r="AE224" s="54" t="str">
        <f>IF($B224="","",IF(NOT(ISNUMBER($AA224)),"Aguardando fechamento",IF($P224&gt;0,"ACAO: "&amp;TEXT($P224,"0")&amp;" carga(s) terceirizada(s) de forma evitavel",IF(IF(ISNUMBER($Z224),$Z224,0)&gt;IFERROR(INDEX(Parâmetros!$G$5:$G$10,MATCH($C224,Parâmetros!$B$5:$B$10,0)),""),"ALERTA: terceiros acima da meta",IF($AA224&gt;IFERROR(INDEX(Parâmetros!$D$5:$D$10,MATCH($C224,Parâmetros!$B$5:$B$10,0)),""),"ALERTA: custo/km acima da meta","OK - dentro das metas")))))</f>
        <v/>
      </c>
    </row>
    <row r="225" spans="2:31" ht="15" customHeight="1" x14ac:dyDescent="0.3">
      <c r="B225" s="48"/>
      <c r="C225" s="49"/>
      <c r="D225" s="50"/>
      <c r="E225" s="51"/>
      <c r="F225" s="52"/>
      <c r="G225" s="51"/>
      <c r="H225" s="51"/>
      <c r="I225" s="53" t="str">
        <f>IF($B225="","",IFERROR($G225*IFERROR(INDEX(Parâmetros!$C$5:$C$10,MATCH($C225,Parâmetros!$B$5:$B$10,0)),"")/Parâmetros!$C$13,""))</f>
        <v/>
      </c>
      <c r="J225" s="53" t="str">
        <f>IF($B225="","",IFERROR($E225*IFERROR(INDEX(Parâmetros!$E$5:$E$10,MATCH($C225,Parâmetros!$B$5:$B$10,0)),"")-$I225,""))</f>
        <v/>
      </c>
      <c r="K225" s="54" t="str">
        <f>IF($B225="","",IF(NOT(ISNUMBER($J225)),"",IF($J225&lt;=0,"OK - frota cobre a meta do dia",IF($J225&lt;=Parâmetros!$C$15,"ATENCAO - faltam "&amp;TEXT($J225,"0")&amp;" viagem(ns) de frota","CRITICO - faltam "&amp;TEXT($J225,"0")&amp;" viagens: acionar plano"))))</f>
        <v/>
      </c>
      <c r="L225" s="51"/>
      <c r="M225" s="51"/>
      <c r="N225" s="51"/>
      <c r="O225" s="50"/>
      <c r="P225" s="51"/>
      <c r="Q225" s="51"/>
      <c r="R225" s="55"/>
      <c r="S225" s="56"/>
      <c r="T225" s="56"/>
      <c r="U225" s="56"/>
      <c r="V225" s="19"/>
      <c r="W225" s="51"/>
      <c r="X225" s="57" t="str">
        <f t="shared" si="21"/>
        <v/>
      </c>
      <c r="Y225" s="57" t="str">
        <f t="shared" si="22"/>
        <v/>
      </c>
      <c r="Z225" s="57" t="str">
        <f t="shared" si="23"/>
        <v/>
      </c>
      <c r="AA225" s="58" t="str">
        <f t="shared" si="24"/>
        <v/>
      </c>
      <c r="AB225" s="58" t="str">
        <f t="shared" si="25"/>
        <v/>
      </c>
      <c r="AC225" s="57" t="str">
        <f t="shared" si="26"/>
        <v/>
      </c>
      <c r="AD225" s="59" t="str">
        <f t="shared" si="27"/>
        <v/>
      </c>
      <c r="AE225" s="54" t="str">
        <f>IF($B225="","",IF(NOT(ISNUMBER($AA225)),"Aguardando fechamento",IF($P225&gt;0,"ACAO: "&amp;TEXT($P225,"0")&amp;" carga(s) terceirizada(s) de forma evitavel",IF(IF(ISNUMBER($Z225),$Z225,0)&gt;IFERROR(INDEX(Parâmetros!$G$5:$G$10,MATCH($C225,Parâmetros!$B$5:$B$10,0)),""),"ALERTA: terceiros acima da meta",IF($AA225&gt;IFERROR(INDEX(Parâmetros!$D$5:$D$10,MATCH($C225,Parâmetros!$B$5:$B$10,0)),""),"ALERTA: custo/km acima da meta","OK - dentro das metas")))))</f>
        <v/>
      </c>
    </row>
    <row r="226" spans="2:31" ht="15" customHeight="1" x14ac:dyDescent="0.3">
      <c r="B226" s="48"/>
      <c r="C226" s="49"/>
      <c r="D226" s="50"/>
      <c r="E226" s="51"/>
      <c r="F226" s="52"/>
      <c r="G226" s="51"/>
      <c r="H226" s="51"/>
      <c r="I226" s="53" t="str">
        <f>IF($B226="","",IFERROR($G226*IFERROR(INDEX(Parâmetros!$C$5:$C$10,MATCH($C226,Parâmetros!$B$5:$B$10,0)),"")/Parâmetros!$C$13,""))</f>
        <v/>
      </c>
      <c r="J226" s="53" t="str">
        <f>IF($B226="","",IFERROR($E226*IFERROR(INDEX(Parâmetros!$E$5:$E$10,MATCH($C226,Parâmetros!$B$5:$B$10,0)),"")-$I226,""))</f>
        <v/>
      </c>
      <c r="K226" s="54" t="str">
        <f>IF($B226="","",IF(NOT(ISNUMBER($J226)),"",IF($J226&lt;=0,"OK - frota cobre a meta do dia",IF($J226&lt;=Parâmetros!$C$15,"ATENCAO - faltam "&amp;TEXT($J226,"0")&amp;" viagem(ns) de frota","CRITICO - faltam "&amp;TEXT($J226,"0")&amp;" viagens: acionar plano"))))</f>
        <v/>
      </c>
      <c r="L226" s="51"/>
      <c r="M226" s="51"/>
      <c r="N226" s="51"/>
      <c r="O226" s="50"/>
      <c r="P226" s="51"/>
      <c r="Q226" s="51"/>
      <c r="R226" s="55"/>
      <c r="S226" s="56"/>
      <c r="T226" s="56"/>
      <c r="U226" s="56"/>
      <c r="V226" s="19"/>
      <c r="W226" s="51"/>
      <c r="X226" s="57" t="str">
        <f t="shared" si="21"/>
        <v/>
      </c>
      <c r="Y226" s="57" t="str">
        <f t="shared" si="22"/>
        <v/>
      </c>
      <c r="Z226" s="57" t="str">
        <f t="shared" si="23"/>
        <v/>
      </c>
      <c r="AA226" s="58" t="str">
        <f t="shared" si="24"/>
        <v/>
      </c>
      <c r="AB226" s="58" t="str">
        <f t="shared" si="25"/>
        <v/>
      </c>
      <c r="AC226" s="57" t="str">
        <f t="shared" si="26"/>
        <v/>
      </c>
      <c r="AD226" s="59" t="str">
        <f t="shared" si="27"/>
        <v/>
      </c>
      <c r="AE226" s="54" t="str">
        <f>IF($B226="","",IF(NOT(ISNUMBER($AA226)),"Aguardando fechamento",IF($P226&gt;0,"ACAO: "&amp;TEXT($P226,"0")&amp;" carga(s) terceirizada(s) de forma evitavel",IF(IF(ISNUMBER($Z226),$Z226,0)&gt;IFERROR(INDEX(Parâmetros!$G$5:$G$10,MATCH($C226,Parâmetros!$B$5:$B$10,0)),""),"ALERTA: terceiros acima da meta",IF($AA226&gt;IFERROR(INDEX(Parâmetros!$D$5:$D$10,MATCH($C226,Parâmetros!$B$5:$B$10,0)),""),"ALERTA: custo/km acima da meta","OK - dentro das metas")))))</f>
        <v/>
      </c>
    </row>
    <row r="227" spans="2:31" ht="15" customHeight="1" x14ac:dyDescent="0.3">
      <c r="B227" s="48"/>
      <c r="C227" s="49"/>
      <c r="D227" s="50"/>
      <c r="E227" s="51"/>
      <c r="F227" s="52"/>
      <c r="G227" s="51"/>
      <c r="H227" s="51"/>
      <c r="I227" s="53" t="str">
        <f>IF($B227="","",IFERROR($G227*IFERROR(INDEX(Parâmetros!$C$5:$C$10,MATCH($C227,Parâmetros!$B$5:$B$10,0)),"")/Parâmetros!$C$13,""))</f>
        <v/>
      </c>
      <c r="J227" s="53" t="str">
        <f>IF($B227="","",IFERROR($E227*IFERROR(INDEX(Parâmetros!$E$5:$E$10,MATCH($C227,Parâmetros!$B$5:$B$10,0)),"")-$I227,""))</f>
        <v/>
      </c>
      <c r="K227" s="54" t="str">
        <f>IF($B227="","",IF(NOT(ISNUMBER($J227)),"",IF($J227&lt;=0,"OK - frota cobre a meta do dia",IF($J227&lt;=Parâmetros!$C$15,"ATENCAO - faltam "&amp;TEXT($J227,"0")&amp;" viagem(ns) de frota","CRITICO - faltam "&amp;TEXT($J227,"0")&amp;" viagens: acionar plano"))))</f>
        <v/>
      </c>
      <c r="L227" s="51"/>
      <c r="M227" s="51"/>
      <c r="N227" s="51"/>
      <c r="O227" s="50"/>
      <c r="P227" s="51"/>
      <c r="Q227" s="51"/>
      <c r="R227" s="55"/>
      <c r="S227" s="56"/>
      <c r="T227" s="56"/>
      <c r="U227" s="56"/>
      <c r="V227" s="19"/>
      <c r="W227" s="51"/>
      <c r="X227" s="57" t="str">
        <f t="shared" si="21"/>
        <v/>
      </c>
      <c r="Y227" s="57" t="str">
        <f t="shared" si="22"/>
        <v/>
      </c>
      <c r="Z227" s="57" t="str">
        <f t="shared" si="23"/>
        <v/>
      </c>
      <c r="AA227" s="58" t="str">
        <f t="shared" si="24"/>
        <v/>
      </c>
      <c r="AB227" s="58" t="str">
        <f t="shared" si="25"/>
        <v/>
      </c>
      <c r="AC227" s="57" t="str">
        <f t="shared" si="26"/>
        <v/>
      </c>
      <c r="AD227" s="59" t="str">
        <f t="shared" si="27"/>
        <v/>
      </c>
      <c r="AE227" s="54" t="str">
        <f>IF($B227="","",IF(NOT(ISNUMBER($AA227)),"Aguardando fechamento",IF($P227&gt;0,"ACAO: "&amp;TEXT($P227,"0")&amp;" carga(s) terceirizada(s) de forma evitavel",IF(IF(ISNUMBER($Z227),$Z227,0)&gt;IFERROR(INDEX(Parâmetros!$G$5:$G$10,MATCH($C227,Parâmetros!$B$5:$B$10,0)),""),"ALERTA: terceiros acima da meta",IF($AA227&gt;IFERROR(INDEX(Parâmetros!$D$5:$D$10,MATCH($C227,Parâmetros!$B$5:$B$10,0)),""),"ALERTA: custo/km acima da meta","OK - dentro das metas")))))</f>
        <v/>
      </c>
    </row>
    <row r="228" spans="2:31" ht="15" customHeight="1" x14ac:dyDescent="0.3">
      <c r="B228" s="48"/>
      <c r="C228" s="49"/>
      <c r="D228" s="50"/>
      <c r="E228" s="51"/>
      <c r="F228" s="52"/>
      <c r="G228" s="51"/>
      <c r="H228" s="51"/>
      <c r="I228" s="53" t="str">
        <f>IF($B228="","",IFERROR($G228*IFERROR(INDEX(Parâmetros!$C$5:$C$10,MATCH($C228,Parâmetros!$B$5:$B$10,0)),"")/Parâmetros!$C$13,""))</f>
        <v/>
      </c>
      <c r="J228" s="53" t="str">
        <f>IF($B228="","",IFERROR($E228*IFERROR(INDEX(Parâmetros!$E$5:$E$10,MATCH($C228,Parâmetros!$B$5:$B$10,0)),"")-$I228,""))</f>
        <v/>
      </c>
      <c r="K228" s="54" t="str">
        <f>IF($B228="","",IF(NOT(ISNUMBER($J228)),"",IF($J228&lt;=0,"OK - frota cobre a meta do dia",IF($J228&lt;=Parâmetros!$C$15,"ATENCAO - faltam "&amp;TEXT($J228,"0")&amp;" viagem(ns) de frota","CRITICO - faltam "&amp;TEXT($J228,"0")&amp;" viagens: acionar plano"))))</f>
        <v/>
      </c>
      <c r="L228" s="51"/>
      <c r="M228" s="51"/>
      <c r="N228" s="51"/>
      <c r="O228" s="50"/>
      <c r="P228" s="51"/>
      <c r="Q228" s="51"/>
      <c r="R228" s="55"/>
      <c r="S228" s="56"/>
      <c r="T228" s="56"/>
      <c r="U228" s="56"/>
      <c r="V228" s="19"/>
      <c r="W228" s="51"/>
      <c r="X228" s="57" t="str">
        <f t="shared" si="21"/>
        <v/>
      </c>
      <c r="Y228" s="57" t="str">
        <f t="shared" si="22"/>
        <v/>
      </c>
      <c r="Z228" s="57" t="str">
        <f t="shared" si="23"/>
        <v/>
      </c>
      <c r="AA228" s="58" t="str">
        <f t="shared" si="24"/>
        <v/>
      </c>
      <c r="AB228" s="58" t="str">
        <f t="shared" si="25"/>
        <v/>
      </c>
      <c r="AC228" s="57" t="str">
        <f t="shared" si="26"/>
        <v/>
      </c>
      <c r="AD228" s="59" t="str">
        <f t="shared" si="27"/>
        <v/>
      </c>
      <c r="AE228" s="54" t="str">
        <f>IF($B228="","",IF(NOT(ISNUMBER($AA228)),"Aguardando fechamento",IF($P228&gt;0,"ACAO: "&amp;TEXT($P228,"0")&amp;" carga(s) terceirizada(s) de forma evitavel",IF(IF(ISNUMBER($Z228),$Z228,0)&gt;IFERROR(INDEX(Parâmetros!$G$5:$G$10,MATCH($C228,Parâmetros!$B$5:$B$10,0)),""),"ALERTA: terceiros acima da meta",IF($AA228&gt;IFERROR(INDEX(Parâmetros!$D$5:$D$10,MATCH($C228,Parâmetros!$B$5:$B$10,0)),""),"ALERTA: custo/km acima da meta","OK - dentro das metas")))))</f>
        <v/>
      </c>
    </row>
    <row r="229" spans="2:31" ht="15" customHeight="1" x14ac:dyDescent="0.3">
      <c r="B229" s="48"/>
      <c r="C229" s="49"/>
      <c r="D229" s="50"/>
      <c r="E229" s="51"/>
      <c r="F229" s="52"/>
      <c r="G229" s="51"/>
      <c r="H229" s="51"/>
      <c r="I229" s="53" t="str">
        <f>IF($B229="","",IFERROR($G229*IFERROR(INDEX(Parâmetros!$C$5:$C$10,MATCH($C229,Parâmetros!$B$5:$B$10,0)),"")/Parâmetros!$C$13,""))</f>
        <v/>
      </c>
      <c r="J229" s="53" t="str">
        <f>IF($B229="","",IFERROR($E229*IFERROR(INDEX(Parâmetros!$E$5:$E$10,MATCH($C229,Parâmetros!$B$5:$B$10,0)),"")-$I229,""))</f>
        <v/>
      </c>
      <c r="K229" s="54" t="str">
        <f>IF($B229="","",IF(NOT(ISNUMBER($J229)),"",IF($J229&lt;=0,"OK - frota cobre a meta do dia",IF($J229&lt;=Parâmetros!$C$15,"ATENCAO - faltam "&amp;TEXT($J229,"0")&amp;" viagem(ns) de frota","CRITICO - faltam "&amp;TEXT($J229,"0")&amp;" viagens: acionar plano"))))</f>
        <v/>
      </c>
      <c r="L229" s="51"/>
      <c r="M229" s="51"/>
      <c r="N229" s="51"/>
      <c r="O229" s="50"/>
      <c r="P229" s="51"/>
      <c r="Q229" s="51"/>
      <c r="R229" s="55"/>
      <c r="S229" s="56"/>
      <c r="T229" s="56"/>
      <c r="U229" s="56"/>
      <c r="V229" s="19"/>
      <c r="W229" s="51"/>
      <c r="X229" s="57" t="str">
        <f t="shared" si="21"/>
        <v/>
      </c>
      <c r="Y229" s="57" t="str">
        <f t="shared" si="22"/>
        <v/>
      </c>
      <c r="Z229" s="57" t="str">
        <f t="shared" si="23"/>
        <v/>
      </c>
      <c r="AA229" s="58" t="str">
        <f t="shared" si="24"/>
        <v/>
      </c>
      <c r="AB229" s="58" t="str">
        <f t="shared" si="25"/>
        <v/>
      </c>
      <c r="AC229" s="57" t="str">
        <f t="shared" si="26"/>
        <v/>
      </c>
      <c r="AD229" s="59" t="str">
        <f t="shared" si="27"/>
        <v/>
      </c>
      <c r="AE229" s="54" t="str">
        <f>IF($B229="","",IF(NOT(ISNUMBER($AA229)),"Aguardando fechamento",IF($P229&gt;0,"ACAO: "&amp;TEXT($P229,"0")&amp;" carga(s) terceirizada(s) de forma evitavel",IF(IF(ISNUMBER($Z229),$Z229,0)&gt;IFERROR(INDEX(Parâmetros!$G$5:$G$10,MATCH($C229,Parâmetros!$B$5:$B$10,0)),""),"ALERTA: terceiros acima da meta",IF($AA229&gt;IFERROR(INDEX(Parâmetros!$D$5:$D$10,MATCH($C229,Parâmetros!$B$5:$B$10,0)),""),"ALERTA: custo/km acima da meta","OK - dentro das metas")))))</f>
        <v/>
      </c>
    </row>
    <row r="230" spans="2:31" ht="15" customHeight="1" x14ac:dyDescent="0.3">
      <c r="B230" s="48"/>
      <c r="C230" s="49"/>
      <c r="D230" s="50"/>
      <c r="E230" s="51"/>
      <c r="F230" s="52"/>
      <c r="G230" s="51"/>
      <c r="H230" s="51"/>
      <c r="I230" s="53" t="str">
        <f>IF($B230="","",IFERROR($G230*IFERROR(INDEX(Parâmetros!$C$5:$C$10,MATCH($C230,Parâmetros!$B$5:$B$10,0)),"")/Parâmetros!$C$13,""))</f>
        <v/>
      </c>
      <c r="J230" s="53" t="str">
        <f>IF($B230="","",IFERROR($E230*IFERROR(INDEX(Parâmetros!$E$5:$E$10,MATCH($C230,Parâmetros!$B$5:$B$10,0)),"")-$I230,""))</f>
        <v/>
      </c>
      <c r="K230" s="54" t="str">
        <f>IF($B230="","",IF(NOT(ISNUMBER($J230)),"",IF($J230&lt;=0,"OK - frota cobre a meta do dia",IF($J230&lt;=Parâmetros!$C$15,"ATENCAO - faltam "&amp;TEXT($J230,"0")&amp;" viagem(ns) de frota","CRITICO - faltam "&amp;TEXT($J230,"0")&amp;" viagens: acionar plano"))))</f>
        <v/>
      </c>
      <c r="L230" s="51"/>
      <c r="M230" s="51"/>
      <c r="N230" s="51"/>
      <c r="O230" s="50"/>
      <c r="P230" s="51"/>
      <c r="Q230" s="51"/>
      <c r="R230" s="55"/>
      <c r="S230" s="56"/>
      <c r="T230" s="56"/>
      <c r="U230" s="56"/>
      <c r="V230" s="19"/>
      <c r="W230" s="51"/>
      <c r="X230" s="57" t="str">
        <f t="shared" si="21"/>
        <v/>
      </c>
      <c r="Y230" s="57" t="str">
        <f t="shared" si="22"/>
        <v/>
      </c>
      <c r="Z230" s="57" t="str">
        <f t="shared" si="23"/>
        <v/>
      </c>
      <c r="AA230" s="58" t="str">
        <f t="shared" si="24"/>
        <v/>
      </c>
      <c r="AB230" s="58" t="str">
        <f t="shared" si="25"/>
        <v/>
      </c>
      <c r="AC230" s="57" t="str">
        <f t="shared" si="26"/>
        <v/>
      </c>
      <c r="AD230" s="59" t="str">
        <f t="shared" si="27"/>
        <v/>
      </c>
      <c r="AE230" s="54" t="str">
        <f>IF($B230="","",IF(NOT(ISNUMBER($AA230)),"Aguardando fechamento",IF($P230&gt;0,"ACAO: "&amp;TEXT($P230,"0")&amp;" carga(s) terceirizada(s) de forma evitavel",IF(IF(ISNUMBER($Z230),$Z230,0)&gt;IFERROR(INDEX(Parâmetros!$G$5:$G$10,MATCH($C230,Parâmetros!$B$5:$B$10,0)),""),"ALERTA: terceiros acima da meta",IF($AA230&gt;IFERROR(INDEX(Parâmetros!$D$5:$D$10,MATCH($C230,Parâmetros!$B$5:$B$10,0)),""),"ALERTA: custo/km acima da meta","OK - dentro das metas")))))</f>
        <v/>
      </c>
    </row>
    <row r="231" spans="2:31" ht="15" customHeight="1" x14ac:dyDescent="0.3">
      <c r="B231" s="48"/>
      <c r="C231" s="49"/>
      <c r="D231" s="50"/>
      <c r="E231" s="51"/>
      <c r="F231" s="52"/>
      <c r="G231" s="51"/>
      <c r="H231" s="51"/>
      <c r="I231" s="53" t="str">
        <f>IF($B231="","",IFERROR($G231*IFERROR(INDEX(Parâmetros!$C$5:$C$10,MATCH($C231,Parâmetros!$B$5:$B$10,0)),"")/Parâmetros!$C$13,""))</f>
        <v/>
      </c>
      <c r="J231" s="53" t="str">
        <f>IF($B231="","",IFERROR($E231*IFERROR(INDEX(Parâmetros!$E$5:$E$10,MATCH($C231,Parâmetros!$B$5:$B$10,0)),"")-$I231,""))</f>
        <v/>
      </c>
      <c r="K231" s="54" t="str">
        <f>IF($B231="","",IF(NOT(ISNUMBER($J231)),"",IF($J231&lt;=0,"OK - frota cobre a meta do dia",IF($J231&lt;=Parâmetros!$C$15,"ATENCAO - faltam "&amp;TEXT($J231,"0")&amp;" viagem(ns) de frota","CRITICO - faltam "&amp;TEXT($J231,"0")&amp;" viagens: acionar plano"))))</f>
        <v/>
      </c>
      <c r="L231" s="51"/>
      <c r="M231" s="51"/>
      <c r="N231" s="51"/>
      <c r="O231" s="50"/>
      <c r="P231" s="51"/>
      <c r="Q231" s="51"/>
      <c r="R231" s="55"/>
      <c r="S231" s="56"/>
      <c r="T231" s="56"/>
      <c r="U231" s="56"/>
      <c r="V231" s="19"/>
      <c r="W231" s="51"/>
      <c r="X231" s="57" t="str">
        <f t="shared" si="21"/>
        <v/>
      </c>
      <c r="Y231" s="57" t="str">
        <f t="shared" si="22"/>
        <v/>
      </c>
      <c r="Z231" s="57" t="str">
        <f t="shared" si="23"/>
        <v/>
      </c>
      <c r="AA231" s="58" t="str">
        <f t="shared" si="24"/>
        <v/>
      </c>
      <c r="AB231" s="58" t="str">
        <f t="shared" si="25"/>
        <v/>
      </c>
      <c r="AC231" s="57" t="str">
        <f t="shared" si="26"/>
        <v/>
      </c>
      <c r="AD231" s="59" t="str">
        <f t="shared" si="27"/>
        <v/>
      </c>
      <c r="AE231" s="54" t="str">
        <f>IF($B231="","",IF(NOT(ISNUMBER($AA231)),"Aguardando fechamento",IF($P231&gt;0,"ACAO: "&amp;TEXT($P231,"0")&amp;" carga(s) terceirizada(s) de forma evitavel",IF(IF(ISNUMBER($Z231),$Z231,0)&gt;IFERROR(INDEX(Parâmetros!$G$5:$G$10,MATCH($C231,Parâmetros!$B$5:$B$10,0)),""),"ALERTA: terceiros acima da meta",IF($AA231&gt;IFERROR(INDEX(Parâmetros!$D$5:$D$10,MATCH($C231,Parâmetros!$B$5:$B$10,0)),""),"ALERTA: custo/km acima da meta","OK - dentro das metas")))))</f>
        <v/>
      </c>
    </row>
    <row r="232" spans="2:31" ht="15" customHeight="1" x14ac:dyDescent="0.3">
      <c r="B232" s="48"/>
      <c r="C232" s="49"/>
      <c r="D232" s="50"/>
      <c r="E232" s="51"/>
      <c r="F232" s="52"/>
      <c r="G232" s="51"/>
      <c r="H232" s="51"/>
      <c r="I232" s="53" t="str">
        <f>IF($B232="","",IFERROR($G232*IFERROR(INDEX(Parâmetros!$C$5:$C$10,MATCH($C232,Parâmetros!$B$5:$B$10,0)),"")/Parâmetros!$C$13,""))</f>
        <v/>
      </c>
      <c r="J232" s="53" t="str">
        <f>IF($B232="","",IFERROR($E232*IFERROR(INDEX(Parâmetros!$E$5:$E$10,MATCH($C232,Parâmetros!$B$5:$B$10,0)),"")-$I232,""))</f>
        <v/>
      </c>
      <c r="K232" s="54" t="str">
        <f>IF($B232="","",IF(NOT(ISNUMBER($J232)),"",IF($J232&lt;=0,"OK - frota cobre a meta do dia",IF($J232&lt;=Parâmetros!$C$15,"ATENCAO - faltam "&amp;TEXT($J232,"0")&amp;" viagem(ns) de frota","CRITICO - faltam "&amp;TEXT($J232,"0")&amp;" viagens: acionar plano"))))</f>
        <v/>
      </c>
      <c r="L232" s="51"/>
      <c r="M232" s="51"/>
      <c r="N232" s="51"/>
      <c r="O232" s="50"/>
      <c r="P232" s="51"/>
      <c r="Q232" s="51"/>
      <c r="R232" s="55"/>
      <c r="S232" s="56"/>
      <c r="T232" s="56"/>
      <c r="U232" s="56"/>
      <c r="V232" s="19"/>
      <c r="W232" s="51"/>
      <c r="X232" s="57" t="str">
        <f t="shared" si="21"/>
        <v/>
      </c>
      <c r="Y232" s="57" t="str">
        <f t="shared" si="22"/>
        <v/>
      </c>
      <c r="Z232" s="57" t="str">
        <f t="shared" si="23"/>
        <v/>
      </c>
      <c r="AA232" s="58" t="str">
        <f t="shared" si="24"/>
        <v/>
      </c>
      <c r="AB232" s="58" t="str">
        <f t="shared" si="25"/>
        <v/>
      </c>
      <c r="AC232" s="57" t="str">
        <f t="shared" si="26"/>
        <v/>
      </c>
      <c r="AD232" s="59" t="str">
        <f t="shared" si="27"/>
        <v/>
      </c>
      <c r="AE232" s="54" t="str">
        <f>IF($B232="","",IF(NOT(ISNUMBER($AA232)),"Aguardando fechamento",IF($P232&gt;0,"ACAO: "&amp;TEXT($P232,"0")&amp;" carga(s) terceirizada(s) de forma evitavel",IF(IF(ISNUMBER($Z232),$Z232,0)&gt;IFERROR(INDEX(Parâmetros!$G$5:$G$10,MATCH($C232,Parâmetros!$B$5:$B$10,0)),""),"ALERTA: terceiros acima da meta",IF($AA232&gt;IFERROR(INDEX(Parâmetros!$D$5:$D$10,MATCH($C232,Parâmetros!$B$5:$B$10,0)),""),"ALERTA: custo/km acima da meta","OK - dentro das metas")))))</f>
        <v/>
      </c>
    </row>
    <row r="233" spans="2:31" ht="15" customHeight="1" x14ac:dyDescent="0.3">
      <c r="B233" s="48"/>
      <c r="C233" s="49"/>
      <c r="D233" s="50"/>
      <c r="E233" s="51"/>
      <c r="F233" s="52"/>
      <c r="G233" s="51"/>
      <c r="H233" s="51"/>
      <c r="I233" s="53" t="str">
        <f>IF($B233="","",IFERROR($G233*IFERROR(INDEX(Parâmetros!$C$5:$C$10,MATCH($C233,Parâmetros!$B$5:$B$10,0)),"")/Parâmetros!$C$13,""))</f>
        <v/>
      </c>
      <c r="J233" s="53" t="str">
        <f>IF($B233="","",IFERROR($E233*IFERROR(INDEX(Parâmetros!$E$5:$E$10,MATCH($C233,Parâmetros!$B$5:$B$10,0)),"")-$I233,""))</f>
        <v/>
      </c>
      <c r="K233" s="54" t="str">
        <f>IF($B233="","",IF(NOT(ISNUMBER($J233)),"",IF($J233&lt;=0,"OK - frota cobre a meta do dia",IF($J233&lt;=Parâmetros!$C$15,"ATENCAO - faltam "&amp;TEXT($J233,"0")&amp;" viagem(ns) de frota","CRITICO - faltam "&amp;TEXT($J233,"0")&amp;" viagens: acionar plano"))))</f>
        <v/>
      </c>
      <c r="L233" s="51"/>
      <c r="M233" s="51"/>
      <c r="N233" s="51"/>
      <c r="O233" s="50"/>
      <c r="P233" s="51"/>
      <c r="Q233" s="51"/>
      <c r="R233" s="55"/>
      <c r="S233" s="56"/>
      <c r="T233" s="56"/>
      <c r="U233" s="56"/>
      <c r="V233" s="19"/>
      <c r="W233" s="51"/>
      <c r="X233" s="57" t="str">
        <f t="shared" si="21"/>
        <v/>
      </c>
      <c r="Y233" s="57" t="str">
        <f t="shared" si="22"/>
        <v/>
      </c>
      <c r="Z233" s="57" t="str">
        <f t="shared" si="23"/>
        <v/>
      </c>
      <c r="AA233" s="58" t="str">
        <f t="shared" si="24"/>
        <v/>
      </c>
      <c r="AB233" s="58" t="str">
        <f t="shared" si="25"/>
        <v/>
      </c>
      <c r="AC233" s="57" t="str">
        <f t="shared" si="26"/>
        <v/>
      </c>
      <c r="AD233" s="59" t="str">
        <f t="shared" si="27"/>
        <v/>
      </c>
      <c r="AE233" s="54" t="str">
        <f>IF($B233="","",IF(NOT(ISNUMBER($AA233)),"Aguardando fechamento",IF($P233&gt;0,"ACAO: "&amp;TEXT($P233,"0")&amp;" carga(s) terceirizada(s) de forma evitavel",IF(IF(ISNUMBER($Z233),$Z233,0)&gt;IFERROR(INDEX(Parâmetros!$G$5:$G$10,MATCH($C233,Parâmetros!$B$5:$B$10,0)),""),"ALERTA: terceiros acima da meta",IF($AA233&gt;IFERROR(INDEX(Parâmetros!$D$5:$D$10,MATCH($C233,Parâmetros!$B$5:$B$10,0)),""),"ALERTA: custo/km acima da meta","OK - dentro das metas")))))</f>
        <v/>
      </c>
    </row>
    <row r="234" spans="2:31" ht="15" customHeight="1" x14ac:dyDescent="0.3">
      <c r="B234" s="48"/>
      <c r="C234" s="49"/>
      <c r="D234" s="50"/>
      <c r="E234" s="51"/>
      <c r="F234" s="52"/>
      <c r="G234" s="51"/>
      <c r="H234" s="51"/>
      <c r="I234" s="53" t="str">
        <f>IF($B234="","",IFERROR($G234*IFERROR(INDEX(Parâmetros!$C$5:$C$10,MATCH($C234,Parâmetros!$B$5:$B$10,0)),"")/Parâmetros!$C$13,""))</f>
        <v/>
      </c>
      <c r="J234" s="53" t="str">
        <f>IF($B234="","",IFERROR($E234*IFERROR(INDEX(Parâmetros!$E$5:$E$10,MATCH($C234,Parâmetros!$B$5:$B$10,0)),"")-$I234,""))</f>
        <v/>
      </c>
      <c r="K234" s="54" t="str">
        <f>IF($B234="","",IF(NOT(ISNUMBER($J234)),"",IF($J234&lt;=0,"OK - frota cobre a meta do dia",IF($J234&lt;=Parâmetros!$C$15,"ATENCAO - faltam "&amp;TEXT($J234,"0")&amp;" viagem(ns) de frota","CRITICO - faltam "&amp;TEXT($J234,"0")&amp;" viagens: acionar plano"))))</f>
        <v/>
      </c>
      <c r="L234" s="51"/>
      <c r="M234" s="51"/>
      <c r="N234" s="51"/>
      <c r="O234" s="50"/>
      <c r="P234" s="51"/>
      <c r="Q234" s="51"/>
      <c r="R234" s="55"/>
      <c r="S234" s="56"/>
      <c r="T234" s="56"/>
      <c r="U234" s="56"/>
      <c r="V234" s="19"/>
      <c r="W234" s="51"/>
      <c r="X234" s="57" t="str">
        <f t="shared" si="21"/>
        <v/>
      </c>
      <c r="Y234" s="57" t="str">
        <f t="shared" si="22"/>
        <v/>
      </c>
      <c r="Z234" s="57" t="str">
        <f t="shared" si="23"/>
        <v/>
      </c>
      <c r="AA234" s="58" t="str">
        <f t="shared" si="24"/>
        <v/>
      </c>
      <c r="AB234" s="58" t="str">
        <f t="shared" si="25"/>
        <v/>
      </c>
      <c r="AC234" s="57" t="str">
        <f t="shared" si="26"/>
        <v/>
      </c>
      <c r="AD234" s="59" t="str">
        <f t="shared" si="27"/>
        <v/>
      </c>
      <c r="AE234" s="54" t="str">
        <f>IF($B234="","",IF(NOT(ISNUMBER($AA234)),"Aguardando fechamento",IF($P234&gt;0,"ACAO: "&amp;TEXT($P234,"0")&amp;" carga(s) terceirizada(s) de forma evitavel",IF(IF(ISNUMBER($Z234),$Z234,0)&gt;IFERROR(INDEX(Parâmetros!$G$5:$G$10,MATCH($C234,Parâmetros!$B$5:$B$10,0)),""),"ALERTA: terceiros acima da meta",IF($AA234&gt;IFERROR(INDEX(Parâmetros!$D$5:$D$10,MATCH($C234,Parâmetros!$B$5:$B$10,0)),""),"ALERTA: custo/km acima da meta","OK - dentro das metas")))))</f>
        <v/>
      </c>
    </row>
    <row r="235" spans="2:31" ht="15" customHeight="1" x14ac:dyDescent="0.3">
      <c r="B235" s="48"/>
      <c r="C235" s="49"/>
      <c r="D235" s="50"/>
      <c r="E235" s="51"/>
      <c r="F235" s="52"/>
      <c r="G235" s="51"/>
      <c r="H235" s="51"/>
      <c r="I235" s="53" t="str">
        <f>IF($B235="","",IFERROR($G235*IFERROR(INDEX(Parâmetros!$C$5:$C$10,MATCH($C235,Parâmetros!$B$5:$B$10,0)),"")/Parâmetros!$C$13,""))</f>
        <v/>
      </c>
      <c r="J235" s="53" t="str">
        <f>IF($B235="","",IFERROR($E235*IFERROR(INDEX(Parâmetros!$E$5:$E$10,MATCH($C235,Parâmetros!$B$5:$B$10,0)),"")-$I235,""))</f>
        <v/>
      </c>
      <c r="K235" s="54" t="str">
        <f>IF($B235="","",IF(NOT(ISNUMBER($J235)),"",IF($J235&lt;=0,"OK - frota cobre a meta do dia",IF($J235&lt;=Parâmetros!$C$15,"ATENCAO - faltam "&amp;TEXT($J235,"0")&amp;" viagem(ns) de frota","CRITICO - faltam "&amp;TEXT($J235,"0")&amp;" viagens: acionar plano"))))</f>
        <v/>
      </c>
      <c r="L235" s="51"/>
      <c r="M235" s="51"/>
      <c r="N235" s="51"/>
      <c r="O235" s="50"/>
      <c r="P235" s="51"/>
      <c r="Q235" s="51"/>
      <c r="R235" s="55"/>
      <c r="S235" s="56"/>
      <c r="T235" s="56"/>
      <c r="U235" s="56"/>
      <c r="V235" s="19"/>
      <c r="W235" s="51"/>
      <c r="X235" s="57" t="str">
        <f t="shared" si="21"/>
        <v/>
      </c>
      <c r="Y235" s="57" t="str">
        <f t="shared" si="22"/>
        <v/>
      </c>
      <c r="Z235" s="57" t="str">
        <f t="shared" si="23"/>
        <v/>
      </c>
      <c r="AA235" s="58" t="str">
        <f t="shared" si="24"/>
        <v/>
      </c>
      <c r="AB235" s="58" t="str">
        <f t="shared" si="25"/>
        <v/>
      </c>
      <c r="AC235" s="57" t="str">
        <f t="shared" si="26"/>
        <v/>
      </c>
      <c r="AD235" s="59" t="str">
        <f t="shared" si="27"/>
        <v/>
      </c>
      <c r="AE235" s="54" t="str">
        <f>IF($B235="","",IF(NOT(ISNUMBER($AA235)),"Aguardando fechamento",IF($P235&gt;0,"ACAO: "&amp;TEXT($P235,"0")&amp;" carga(s) terceirizada(s) de forma evitavel",IF(IF(ISNUMBER($Z235),$Z235,0)&gt;IFERROR(INDEX(Parâmetros!$G$5:$G$10,MATCH($C235,Parâmetros!$B$5:$B$10,0)),""),"ALERTA: terceiros acima da meta",IF($AA235&gt;IFERROR(INDEX(Parâmetros!$D$5:$D$10,MATCH($C235,Parâmetros!$B$5:$B$10,0)),""),"ALERTA: custo/km acima da meta","OK - dentro das metas")))))</f>
        <v/>
      </c>
    </row>
    <row r="236" spans="2:31" ht="15" customHeight="1" x14ac:dyDescent="0.3">
      <c r="B236" s="48"/>
      <c r="C236" s="49"/>
      <c r="D236" s="50"/>
      <c r="E236" s="51"/>
      <c r="F236" s="52"/>
      <c r="G236" s="51"/>
      <c r="H236" s="51"/>
      <c r="I236" s="53" t="str">
        <f>IF($B236="","",IFERROR($G236*IFERROR(INDEX(Parâmetros!$C$5:$C$10,MATCH($C236,Parâmetros!$B$5:$B$10,0)),"")/Parâmetros!$C$13,""))</f>
        <v/>
      </c>
      <c r="J236" s="53" t="str">
        <f>IF($B236="","",IFERROR($E236*IFERROR(INDEX(Parâmetros!$E$5:$E$10,MATCH($C236,Parâmetros!$B$5:$B$10,0)),"")-$I236,""))</f>
        <v/>
      </c>
      <c r="K236" s="54" t="str">
        <f>IF($B236="","",IF(NOT(ISNUMBER($J236)),"",IF($J236&lt;=0,"OK - frota cobre a meta do dia",IF($J236&lt;=Parâmetros!$C$15,"ATENCAO - faltam "&amp;TEXT($J236,"0")&amp;" viagem(ns) de frota","CRITICO - faltam "&amp;TEXT($J236,"0")&amp;" viagens: acionar plano"))))</f>
        <v/>
      </c>
      <c r="L236" s="51"/>
      <c r="M236" s="51"/>
      <c r="N236" s="51"/>
      <c r="O236" s="50"/>
      <c r="P236" s="51"/>
      <c r="Q236" s="51"/>
      <c r="R236" s="55"/>
      <c r="S236" s="56"/>
      <c r="T236" s="56"/>
      <c r="U236" s="56"/>
      <c r="V236" s="19"/>
      <c r="W236" s="51"/>
      <c r="X236" s="57" t="str">
        <f t="shared" si="21"/>
        <v/>
      </c>
      <c r="Y236" s="57" t="str">
        <f t="shared" si="22"/>
        <v/>
      </c>
      <c r="Z236" s="57" t="str">
        <f t="shared" si="23"/>
        <v/>
      </c>
      <c r="AA236" s="58" t="str">
        <f t="shared" si="24"/>
        <v/>
      </c>
      <c r="AB236" s="58" t="str">
        <f t="shared" si="25"/>
        <v/>
      </c>
      <c r="AC236" s="57" t="str">
        <f t="shared" si="26"/>
        <v/>
      </c>
      <c r="AD236" s="59" t="str">
        <f t="shared" si="27"/>
        <v/>
      </c>
      <c r="AE236" s="54" t="str">
        <f>IF($B236="","",IF(NOT(ISNUMBER($AA236)),"Aguardando fechamento",IF($P236&gt;0,"ACAO: "&amp;TEXT($P236,"0")&amp;" carga(s) terceirizada(s) de forma evitavel",IF(IF(ISNUMBER($Z236),$Z236,0)&gt;IFERROR(INDEX(Parâmetros!$G$5:$G$10,MATCH($C236,Parâmetros!$B$5:$B$10,0)),""),"ALERTA: terceiros acima da meta",IF($AA236&gt;IFERROR(INDEX(Parâmetros!$D$5:$D$10,MATCH($C236,Parâmetros!$B$5:$B$10,0)),""),"ALERTA: custo/km acima da meta","OK - dentro das metas")))))</f>
        <v/>
      </c>
    </row>
    <row r="237" spans="2:31" ht="15" customHeight="1" x14ac:dyDescent="0.3">
      <c r="B237" s="48"/>
      <c r="C237" s="49"/>
      <c r="D237" s="50"/>
      <c r="E237" s="51"/>
      <c r="F237" s="52"/>
      <c r="G237" s="51"/>
      <c r="H237" s="51"/>
      <c r="I237" s="53" t="str">
        <f>IF($B237="","",IFERROR($G237*IFERROR(INDEX(Parâmetros!$C$5:$C$10,MATCH($C237,Parâmetros!$B$5:$B$10,0)),"")/Parâmetros!$C$13,""))</f>
        <v/>
      </c>
      <c r="J237" s="53" t="str">
        <f>IF($B237="","",IFERROR($E237*IFERROR(INDEX(Parâmetros!$E$5:$E$10,MATCH($C237,Parâmetros!$B$5:$B$10,0)),"")-$I237,""))</f>
        <v/>
      </c>
      <c r="K237" s="54" t="str">
        <f>IF($B237="","",IF(NOT(ISNUMBER($J237)),"",IF($J237&lt;=0,"OK - frota cobre a meta do dia",IF($J237&lt;=Parâmetros!$C$15,"ATENCAO - faltam "&amp;TEXT($J237,"0")&amp;" viagem(ns) de frota","CRITICO - faltam "&amp;TEXT($J237,"0")&amp;" viagens: acionar plano"))))</f>
        <v/>
      </c>
      <c r="L237" s="51"/>
      <c r="M237" s="51"/>
      <c r="N237" s="51"/>
      <c r="O237" s="50"/>
      <c r="P237" s="51"/>
      <c r="Q237" s="51"/>
      <c r="R237" s="55"/>
      <c r="S237" s="56"/>
      <c r="T237" s="56"/>
      <c r="U237" s="56"/>
      <c r="V237" s="19"/>
      <c r="W237" s="51"/>
      <c r="X237" s="57" t="str">
        <f t="shared" si="21"/>
        <v/>
      </c>
      <c r="Y237" s="57" t="str">
        <f t="shared" si="22"/>
        <v/>
      </c>
      <c r="Z237" s="57" t="str">
        <f t="shared" si="23"/>
        <v/>
      </c>
      <c r="AA237" s="58" t="str">
        <f t="shared" si="24"/>
        <v/>
      </c>
      <c r="AB237" s="58" t="str">
        <f t="shared" si="25"/>
        <v/>
      </c>
      <c r="AC237" s="57" t="str">
        <f t="shared" si="26"/>
        <v/>
      </c>
      <c r="AD237" s="59" t="str">
        <f t="shared" si="27"/>
        <v/>
      </c>
      <c r="AE237" s="54" t="str">
        <f>IF($B237="","",IF(NOT(ISNUMBER($AA237)),"Aguardando fechamento",IF($P237&gt;0,"ACAO: "&amp;TEXT($P237,"0")&amp;" carga(s) terceirizada(s) de forma evitavel",IF(IF(ISNUMBER($Z237),$Z237,0)&gt;IFERROR(INDEX(Parâmetros!$G$5:$G$10,MATCH($C237,Parâmetros!$B$5:$B$10,0)),""),"ALERTA: terceiros acima da meta",IF($AA237&gt;IFERROR(INDEX(Parâmetros!$D$5:$D$10,MATCH($C237,Parâmetros!$B$5:$B$10,0)),""),"ALERTA: custo/km acima da meta","OK - dentro das metas")))))</f>
        <v/>
      </c>
    </row>
    <row r="238" spans="2:31" ht="15" customHeight="1" x14ac:dyDescent="0.3">
      <c r="B238" s="48"/>
      <c r="C238" s="49"/>
      <c r="D238" s="50"/>
      <c r="E238" s="51"/>
      <c r="F238" s="52"/>
      <c r="G238" s="51"/>
      <c r="H238" s="51"/>
      <c r="I238" s="53" t="str">
        <f>IF($B238="","",IFERROR($G238*IFERROR(INDEX(Parâmetros!$C$5:$C$10,MATCH($C238,Parâmetros!$B$5:$B$10,0)),"")/Parâmetros!$C$13,""))</f>
        <v/>
      </c>
      <c r="J238" s="53" t="str">
        <f>IF($B238="","",IFERROR($E238*IFERROR(INDEX(Parâmetros!$E$5:$E$10,MATCH($C238,Parâmetros!$B$5:$B$10,0)),"")-$I238,""))</f>
        <v/>
      </c>
      <c r="K238" s="54" t="str">
        <f>IF($B238="","",IF(NOT(ISNUMBER($J238)),"",IF($J238&lt;=0,"OK - frota cobre a meta do dia",IF($J238&lt;=Parâmetros!$C$15,"ATENCAO - faltam "&amp;TEXT($J238,"0")&amp;" viagem(ns) de frota","CRITICO - faltam "&amp;TEXT($J238,"0")&amp;" viagens: acionar plano"))))</f>
        <v/>
      </c>
      <c r="L238" s="51"/>
      <c r="M238" s="51"/>
      <c r="N238" s="51"/>
      <c r="O238" s="50"/>
      <c r="P238" s="51"/>
      <c r="Q238" s="51"/>
      <c r="R238" s="55"/>
      <c r="S238" s="56"/>
      <c r="T238" s="56"/>
      <c r="U238" s="56"/>
      <c r="V238" s="19"/>
      <c r="W238" s="51"/>
      <c r="X238" s="57" t="str">
        <f t="shared" si="21"/>
        <v/>
      </c>
      <c r="Y238" s="57" t="str">
        <f t="shared" si="22"/>
        <v/>
      </c>
      <c r="Z238" s="57" t="str">
        <f t="shared" si="23"/>
        <v/>
      </c>
      <c r="AA238" s="58" t="str">
        <f t="shared" si="24"/>
        <v/>
      </c>
      <c r="AB238" s="58" t="str">
        <f t="shared" si="25"/>
        <v/>
      </c>
      <c r="AC238" s="57" t="str">
        <f t="shared" si="26"/>
        <v/>
      </c>
      <c r="AD238" s="59" t="str">
        <f t="shared" si="27"/>
        <v/>
      </c>
      <c r="AE238" s="54" t="str">
        <f>IF($B238="","",IF(NOT(ISNUMBER($AA238)),"Aguardando fechamento",IF($P238&gt;0,"ACAO: "&amp;TEXT($P238,"0")&amp;" carga(s) terceirizada(s) de forma evitavel",IF(IF(ISNUMBER($Z238),$Z238,0)&gt;IFERROR(INDEX(Parâmetros!$G$5:$G$10,MATCH($C238,Parâmetros!$B$5:$B$10,0)),""),"ALERTA: terceiros acima da meta",IF($AA238&gt;IFERROR(INDEX(Parâmetros!$D$5:$D$10,MATCH($C238,Parâmetros!$B$5:$B$10,0)),""),"ALERTA: custo/km acima da meta","OK - dentro das metas")))))</f>
        <v/>
      </c>
    </row>
    <row r="239" spans="2:31" ht="15" customHeight="1" x14ac:dyDescent="0.3">
      <c r="B239" s="48"/>
      <c r="C239" s="49"/>
      <c r="D239" s="50"/>
      <c r="E239" s="51"/>
      <c r="F239" s="52"/>
      <c r="G239" s="51"/>
      <c r="H239" s="51"/>
      <c r="I239" s="53" t="str">
        <f>IF($B239="","",IFERROR($G239*IFERROR(INDEX(Parâmetros!$C$5:$C$10,MATCH($C239,Parâmetros!$B$5:$B$10,0)),"")/Parâmetros!$C$13,""))</f>
        <v/>
      </c>
      <c r="J239" s="53" t="str">
        <f>IF($B239="","",IFERROR($E239*IFERROR(INDEX(Parâmetros!$E$5:$E$10,MATCH($C239,Parâmetros!$B$5:$B$10,0)),"")-$I239,""))</f>
        <v/>
      </c>
      <c r="K239" s="54" t="str">
        <f>IF($B239="","",IF(NOT(ISNUMBER($J239)),"",IF($J239&lt;=0,"OK - frota cobre a meta do dia",IF($J239&lt;=Parâmetros!$C$15,"ATENCAO - faltam "&amp;TEXT($J239,"0")&amp;" viagem(ns) de frota","CRITICO - faltam "&amp;TEXT($J239,"0")&amp;" viagens: acionar plano"))))</f>
        <v/>
      </c>
      <c r="L239" s="51"/>
      <c r="M239" s="51"/>
      <c r="N239" s="51"/>
      <c r="O239" s="50"/>
      <c r="P239" s="51"/>
      <c r="Q239" s="51"/>
      <c r="R239" s="55"/>
      <c r="S239" s="56"/>
      <c r="T239" s="56"/>
      <c r="U239" s="56"/>
      <c r="V239" s="19"/>
      <c r="W239" s="51"/>
      <c r="X239" s="57" t="str">
        <f t="shared" si="21"/>
        <v/>
      </c>
      <c r="Y239" s="57" t="str">
        <f t="shared" si="22"/>
        <v/>
      </c>
      <c r="Z239" s="57" t="str">
        <f t="shared" si="23"/>
        <v/>
      </c>
      <c r="AA239" s="58" t="str">
        <f t="shared" si="24"/>
        <v/>
      </c>
      <c r="AB239" s="58" t="str">
        <f t="shared" si="25"/>
        <v/>
      </c>
      <c r="AC239" s="57" t="str">
        <f t="shared" si="26"/>
        <v/>
      </c>
      <c r="AD239" s="59" t="str">
        <f t="shared" si="27"/>
        <v/>
      </c>
      <c r="AE239" s="54" t="str">
        <f>IF($B239="","",IF(NOT(ISNUMBER($AA239)),"Aguardando fechamento",IF($P239&gt;0,"ACAO: "&amp;TEXT($P239,"0")&amp;" carga(s) terceirizada(s) de forma evitavel",IF(IF(ISNUMBER($Z239),$Z239,0)&gt;IFERROR(INDEX(Parâmetros!$G$5:$G$10,MATCH($C239,Parâmetros!$B$5:$B$10,0)),""),"ALERTA: terceiros acima da meta",IF($AA239&gt;IFERROR(INDEX(Parâmetros!$D$5:$D$10,MATCH($C239,Parâmetros!$B$5:$B$10,0)),""),"ALERTA: custo/km acima da meta","OK - dentro das metas")))))</f>
        <v/>
      </c>
    </row>
    <row r="240" spans="2:31" ht="15" customHeight="1" x14ac:dyDescent="0.3">
      <c r="B240" s="48"/>
      <c r="C240" s="49"/>
      <c r="D240" s="50"/>
      <c r="E240" s="51"/>
      <c r="F240" s="52"/>
      <c r="G240" s="51"/>
      <c r="H240" s="51"/>
      <c r="I240" s="53" t="str">
        <f>IF($B240="","",IFERROR($G240*IFERROR(INDEX(Parâmetros!$C$5:$C$10,MATCH($C240,Parâmetros!$B$5:$B$10,0)),"")/Parâmetros!$C$13,""))</f>
        <v/>
      </c>
      <c r="J240" s="53" t="str">
        <f>IF($B240="","",IFERROR($E240*IFERROR(INDEX(Parâmetros!$E$5:$E$10,MATCH($C240,Parâmetros!$B$5:$B$10,0)),"")-$I240,""))</f>
        <v/>
      </c>
      <c r="K240" s="54" t="str">
        <f>IF($B240="","",IF(NOT(ISNUMBER($J240)),"",IF($J240&lt;=0,"OK - frota cobre a meta do dia",IF($J240&lt;=Parâmetros!$C$15,"ATENCAO - faltam "&amp;TEXT($J240,"0")&amp;" viagem(ns) de frota","CRITICO - faltam "&amp;TEXT($J240,"0")&amp;" viagens: acionar plano"))))</f>
        <v/>
      </c>
      <c r="L240" s="51"/>
      <c r="M240" s="51"/>
      <c r="N240" s="51"/>
      <c r="O240" s="50"/>
      <c r="P240" s="51"/>
      <c r="Q240" s="51"/>
      <c r="R240" s="55"/>
      <c r="S240" s="56"/>
      <c r="T240" s="56"/>
      <c r="U240" s="56"/>
      <c r="V240" s="19"/>
      <c r="W240" s="51"/>
      <c r="X240" s="57" t="str">
        <f t="shared" si="21"/>
        <v/>
      </c>
      <c r="Y240" s="57" t="str">
        <f t="shared" si="22"/>
        <v/>
      </c>
      <c r="Z240" s="57" t="str">
        <f t="shared" si="23"/>
        <v/>
      </c>
      <c r="AA240" s="58" t="str">
        <f t="shared" si="24"/>
        <v/>
      </c>
      <c r="AB240" s="58" t="str">
        <f t="shared" si="25"/>
        <v/>
      </c>
      <c r="AC240" s="57" t="str">
        <f t="shared" si="26"/>
        <v/>
      </c>
      <c r="AD240" s="59" t="str">
        <f t="shared" si="27"/>
        <v/>
      </c>
      <c r="AE240" s="54" t="str">
        <f>IF($B240="","",IF(NOT(ISNUMBER($AA240)),"Aguardando fechamento",IF($P240&gt;0,"ACAO: "&amp;TEXT($P240,"0")&amp;" carga(s) terceirizada(s) de forma evitavel",IF(IF(ISNUMBER($Z240),$Z240,0)&gt;IFERROR(INDEX(Parâmetros!$G$5:$G$10,MATCH($C240,Parâmetros!$B$5:$B$10,0)),""),"ALERTA: terceiros acima da meta",IF($AA240&gt;IFERROR(INDEX(Parâmetros!$D$5:$D$10,MATCH($C240,Parâmetros!$B$5:$B$10,0)),""),"ALERTA: custo/km acima da meta","OK - dentro das metas")))))</f>
        <v/>
      </c>
    </row>
    <row r="241" spans="2:31" ht="15" customHeight="1" x14ac:dyDescent="0.3">
      <c r="B241" s="48"/>
      <c r="C241" s="49"/>
      <c r="D241" s="50"/>
      <c r="E241" s="51"/>
      <c r="F241" s="52"/>
      <c r="G241" s="51"/>
      <c r="H241" s="51"/>
      <c r="I241" s="53" t="str">
        <f>IF($B241="","",IFERROR($G241*IFERROR(INDEX(Parâmetros!$C$5:$C$10,MATCH($C241,Parâmetros!$B$5:$B$10,0)),"")/Parâmetros!$C$13,""))</f>
        <v/>
      </c>
      <c r="J241" s="53" t="str">
        <f>IF($B241="","",IFERROR($E241*IFERROR(INDEX(Parâmetros!$E$5:$E$10,MATCH($C241,Parâmetros!$B$5:$B$10,0)),"")-$I241,""))</f>
        <v/>
      </c>
      <c r="K241" s="54" t="str">
        <f>IF($B241="","",IF(NOT(ISNUMBER($J241)),"",IF($J241&lt;=0,"OK - frota cobre a meta do dia",IF($J241&lt;=Parâmetros!$C$15,"ATENCAO - faltam "&amp;TEXT($J241,"0")&amp;" viagem(ns) de frota","CRITICO - faltam "&amp;TEXT($J241,"0")&amp;" viagens: acionar plano"))))</f>
        <v/>
      </c>
      <c r="L241" s="51"/>
      <c r="M241" s="51"/>
      <c r="N241" s="51"/>
      <c r="O241" s="50"/>
      <c r="P241" s="51"/>
      <c r="Q241" s="51"/>
      <c r="R241" s="55"/>
      <c r="S241" s="56"/>
      <c r="T241" s="56"/>
      <c r="U241" s="56"/>
      <c r="V241" s="19"/>
      <c r="W241" s="51"/>
      <c r="X241" s="57" t="str">
        <f t="shared" si="21"/>
        <v/>
      </c>
      <c r="Y241" s="57" t="str">
        <f t="shared" si="22"/>
        <v/>
      </c>
      <c r="Z241" s="57" t="str">
        <f t="shared" si="23"/>
        <v/>
      </c>
      <c r="AA241" s="58" t="str">
        <f t="shared" si="24"/>
        <v/>
      </c>
      <c r="AB241" s="58" t="str">
        <f t="shared" si="25"/>
        <v/>
      </c>
      <c r="AC241" s="57" t="str">
        <f t="shared" si="26"/>
        <v/>
      </c>
      <c r="AD241" s="59" t="str">
        <f t="shared" si="27"/>
        <v/>
      </c>
      <c r="AE241" s="54" t="str">
        <f>IF($B241="","",IF(NOT(ISNUMBER($AA241)),"Aguardando fechamento",IF($P241&gt;0,"ACAO: "&amp;TEXT($P241,"0")&amp;" carga(s) terceirizada(s) de forma evitavel",IF(IF(ISNUMBER($Z241),$Z241,0)&gt;IFERROR(INDEX(Parâmetros!$G$5:$G$10,MATCH($C241,Parâmetros!$B$5:$B$10,0)),""),"ALERTA: terceiros acima da meta",IF($AA241&gt;IFERROR(INDEX(Parâmetros!$D$5:$D$10,MATCH($C241,Parâmetros!$B$5:$B$10,0)),""),"ALERTA: custo/km acima da meta","OK - dentro das metas")))))</f>
        <v/>
      </c>
    </row>
    <row r="242" spans="2:31" ht="15" customHeight="1" x14ac:dyDescent="0.3">
      <c r="B242" s="48"/>
      <c r="C242" s="49"/>
      <c r="D242" s="50"/>
      <c r="E242" s="51"/>
      <c r="F242" s="52"/>
      <c r="G242" s="51"/>
      <c r="H242" s="51"/>
      <c r="I242" s="53" t="str">
        <f>IF($B242="","",IFERROR($G242*IFERROR(INDEX(Parâmetros!$C$5:$C$10,MATCH($C242,Parâmetros!$B$5:$B$10,0)),"")/Parâmetros!$C$13,""))</f>
        <v/>
      </c>
      <c r="J242" s="53" t="str">
        <f>IF($B242="","",IFERROR($E242*IFERROR(INDEX(Parâmetros!$E$5:$E$10,MATCH($C242,Parâmetros!$B$5:$B$10,0)),"")-$I242,""))</f>
        <v/>
      </c>
      <c r="K242" s="54" t="str">
        <f>IF($B242="","",IF(NOT(ISNUMBER($J242)),"",IF($J242&lt;=0,"OK - frota cobre a meta do dia",IF($J242&lt;=Parâmetros!$C$15,"ATENCAO - faltam "&amp;TEXT($J242,"0")&amp;" viagem(ns) de frota","CRITICO - faltam "&amp;TEXT($J242,"0")&amp;" viagens: acionar plano"))))</f>
        <v/>
      </c>
      <c r="L242" s="51"/>
      <c r="M242" s="51"/>
      <c r="N242" s="51"/>
      <c r="O242" s="50"/>
      <c r="P242" s="51"/>
      <c r="Q242" s="51"/>
      <c r="R242" s="55"/>
      <c r="S242" s="56"/>
      <c r="T242" s="56"/>
      <c r="U242" s="56"/>
      <c r="V242" s="19"/>
      <c r="W242" s="51"/>
      <c r="X242" s="57" t="str">
        <f t="shared" si="21"/>
        <v/>
      </c>
      <c r="Y242" s="57" t="str">
        <f t="shared" si="22"/>
        <v/>
      </c>
      <c r="Z242" s="57" t="str">
        <f t="shared" si="23"/>
        <v/>
      </c>
      <c r="AA242" s="58" t="str">
        <f t="shared" si="24"/>
        <v/>
      </c>
      <c r="AB242" s="58" t="str">
        <f t="shared" si="25"/>
        <v/>
      </c>
      <c r="AC242" s="57" t="str">
        <f t="shared" si="26"/>
        <v/>
      </c>
      <c r="AD242" s="59" t="str">
        <f t="shared" si="27"/>
        <v/>
      </c>
      <c r="AE242" s="54" t="str">
        <f>IF($B242="","",IF(NOT(ISNUMBER($AA242)),"Aguardando fechamento",IF($P242&gt;0,"ACAO: "&amp;TEXT($P242,"0")&amp;" carga(s) terceirizada(s) de forma evitavel",IF(IF(ISNUMBER($Z242),$Z242,0)&gt;IFERROR(INDEX(Parâmetros!$G$5:$G$10,MATCH($C242,Parâmetros!$B$5:$B$10,0)),""),"ALERTA: terceiros acima da meta",IF($AA242&gt;IFERROR(INDEX(Parâmetros!$D$5:$D$10,MATCH($C242,Parâmetros!$B$5:$B$10,0)),""),"ALERTA: custo/km acima da meta","OK - dentro das metas")))))</f>
        <v/>
      </c>
    </row>
    <row r="243" spans="2:31" ht="15" customHeight="1" x14ac:dyDescent="0.3">
      <c r="B243" s="48"/>
      <c r="C243" s="49"/>
      <c r="D243" s="50"/>
      <c r="E243" s="51"/>
      <c r="F243" s="52"/>
      <c r="G243" s="51"/>
      <c r="H243" s="51"/>
      <c r="I243" s="53" t="str">
        <f>IF($B243="","",IFERROR($G243*IFERROR(INDEX(Parâmetros!$C$5:$C$10,MATCH($C243,Parâmetros!$B$5:$B$10,0)),"")/Parâmetros!$C$13,""))</f>
        <v/>
      </c>
      <c r="J243" s="53" t="str">
        <f>IF($B243="","",IFERROR($E243*IFERROR(INDEX(Parâmetros!$E$5:$E$10,MATCH($C243,Parâmetros!$B$5:$B$10,0)),"")-$I243,""))</f>
        <v/>
      </c>
      <c r="K243" s="54" t="str">
        <f>IF($B243="","",IF(NOT(ISNUMBER($J243)),"",IF($J243&lt;=0,"OK - frota cobre a meta do dia",IF($J243&lt;=Parâmetros!$C$15,"ATENCAO - faltam "&amp;TEXT($J243,"0")&amp;" viagem(ns) de frota","CRITICO - faltam "&amp;TEXT($J243,"0")&amp;" viagens: acionar plano"))))</f>
        <v/>
      </c>
      <c r="L243" s="51"/>
      <c r="M243" s="51"/>
      <c r="N243" s="51"/>
      <c r="O243" s="50"/>
      <c r="P243" s="51"/>
      <c r="Q243" s="51"/>
      <c r="R243" s="55"/>
      <c r="S243" s="56"/>
      <c r="T243" s="56"/>
      <c r="U243" s="56"/>
      <c r="V243" s="19"/>
      <c r="W243" s="51"/>
      <c r="X243" s="57" t="str">
        <f t="shared" si="21"/>
        <v/>
      </c>
      <c r="Y243" s="57" t="str">
        <f t="shared" si="22"/>
        <v/>
      </c>
      <c r="Z243" s="57" t="str">
        <f t="shared" si="23"/>
        <v/>
      </c>
      <c r="AA243" s="58" t="str">
        <f t="shared" si="24"/>
        <v/>
      </c>
      <c r="AB243" s="58" t="str">
        <f t="shared" si="25"/>
        <v/>
      </c>
      <c r="AC243" s="57" t="str">
        <f t="shared" si="26"/>
        <v/>
      </c>
      <c r="AD243" s="59" t="str">
        <f t="shared" si="27"/>
        <v/>
      </c>
      <c r="AE243" s="54" t="str">
        <f>IF($B243="","",IF(NOT(ISNUMBER($AA243)),"Aguardando fechamento",IF($P243&gt;0,"ACAO: "&amp;TEXT($P243,"0")&amp;" carga(s) terceirizada(s) de forma evitavel",IF(IF(ISNUMBER($Z243),$Z243,0)&gt;IFERROR(INDEX(Parâmetros!$G$5:$G$10,MATCH($C243,Parâmetros!$B$5:$B$10,0)),""),"ALERTA: terceiros acima da meta",IF($AA243&gt;IFERROR(INDEX(Parâmetros!$D$5:$D$10,MATCH($C243,Parâmetros!$B$5:$B$10,0)),""),"ALERTA: custo/km acima da meta","OK - dentro das metas")))))</f>
        <v/>
      </c>
    </row>
    <row r="244" spans="2:31" ht="15" customHeight="1" x14ac:dyDescent="0.3">
      <c r="B244" s="48"/>
      <c r="C244" s="49"/>
      <c r="D244" s="50"/>
      <c r="E244" s="51"/>
      <c r="F244" s="52"/>
      <c r="G244" s="51"/>
      <c r="H244" s="51"/>
      <c r="I244" s="53" t="str">
        <f>IF($B244="","",IFERROR($G244*IFERROR(INDEX(Parâmetros!$C$5:$C$10,MATCH($C244,Parâmetros!$B$5:$B$10,0)),"")/Parâmetros!$C$13,""))</f>
        <v/>
      </c>
      <c r="J244" s="53" t="str">
        <f>IF($B244="","",IFERROR($E244*IFERROR(INDEX(Parâmetros!$E$5:$E$10,MATCH($C244,Parâmetros!$B$5:$B$10,0)),"")-$I244,""))</f>
        <v/>
      </c>
      <c r="K244" s="54" t="str">
        <f>IF($B244="","",IF(NOT(ISNUMBER($J244)),"",IF($J244&lt;=0,"OK - frota cobre a meta do dia",IF($J244&lt;=Parâmetros!$C$15,"ATENCAO - faltam "&amp;TEXT($J244,"0")&amp;" viagem(ns) de frota","CRITICO - faltam "&amp;TEXT($J244,"0")&amp;" viagens: acionar plano"))))</f>
        <v/>
      </c>
      <c r="L244" s="51"/>
      <c r="M244" s="51"/>
      <c r="N244" s="51"/>
      <c r="O244" s="50"/>
      <c r="P244" s="51"/>
      <c r="Q244" s="51"/>
      <c r="R244" s="55"/>
      <c r="S244" s="56"/>
      <c r="T244" s="56"/>
      <c r="U244" s="56"/>
      <c r="V244" s="19"/>
      <c r="W244" s="51"/>
      <c r="X244" s="57" t="str">
        <f t="shared" si="21"/>
        <v/>
      </c>
      <c r="Y244" s="57" t="str">
        <f t="shared" si="22"/>
        <v/>
      </c>
      <c r="Z244" s="57" t="str">
        <f t="shared" si="23"/>
        <v/>
      </c>
      <c r="AA244" s="58" t="str">
        <f t="shared" si="24"/>
        <v/>
      </c>
      <c r="AB244" s="58" t="str">
        <f t="shared" si="25"/>
        <v/>
      </c>
      <c r="AC244" s="57" t="str">
        <f t="shared" si="26"/>
        <v/>
      </c>
      <c r="AD244" s="59" t="str">
        <f t="shared" si="27"/>
        <v/>
      </c>
      <c r="AE244" s="54" t="str">
        <f>IF($B244="","",IF(NOT(ISNUMBER($AA244)),"Aguardando fechamento",IF($P244&gt;0,"ACAO: "&amp;TEXT($P244,"0")&amp;" carga(s) terceirizada(s) de forma evitavel",IF(IF(ISNUMBER($Z244),$Z244,0)&gt;IFERROR(INDEX(Parâmetros!$G$5:$G$10,MATCH($C244,Parâmetros!$B$5:$B$10,0)),""),"ALERTA: terceiros acima da meta",IF($AA244&gt;IFERROR(INDEX(Parâmetros!$D$5:$D$10,MATCH($C244,Parâmetros!$B$5:$B$10,0)),""),"ALERTA: custo/km acima da meta","OK - dentro das metas")))))</f>
        <v/>
      </c>
    </row>
    <row r="245" spans="2:31" ht="15" customHeight="1" x14ac:dyDescent="0.3">
      <c r="B245" s="48"/>
      <c r="C245" s="49"/>
      <c r="D245" s="50"/>
      <c r="E245" s="51"/>
      <c r="F245" s="52"/>
      <c r="G245" s="51"/>
      <c r="H245" s="51"/>
      <c r="I245" s="53" t="str">
        <f>IF($B245="","",IFERROR($G245*IFERROR(INDEX(Parâmetros!$C$5:$C$10,MATCH($C245,Parâmetros!$B$5:$B$10,0)),"")/Parâmetros!$C$13,""))</f>
        <v/>
      </c>
      <c r="J245" s="53" t="str">
        <f>IF($B245="","",IFERROR($E245*IFERROR(INDEX(Parâmetros!$E$5:$E$10,MATCH($C245,Parâmetros!$B$5:$B$10,0)),"")-$I245,""))</f>
        <v/>
      </c>
      <c r="K245" s="54" t="str">
        <f>IF($B245="","",IF(NOT(ISNUMBER($J245)),"",IF($J245&lt;=0,"OK - frota cobre a meta do dia",IF($J245&lt;=Parâmetros!$C$15,"ATENCAO - faltam "&amp;TEXT($J245,"0")&amp;" viagem(ns) de frota","CRITICO - faltam "&amp;TEXT($J245,"0")&amp;" viagens: acionar plano"))))</f>
        <v/>
      </c>
      <c r="L245" s="51"/>
      <c r="M245" s="51"/>
      <c r="N245" s="51"/>
      <c r="O245" s="50"/>
      <c r="P245" s="51"/>
      <c r="Q245" s="51"/>
      <c r="R245" s="55"/>
      <c r="S245" s="56"/>
      <c r="T245" s="56"/>
      <c r="U245" s="56"/>
      <c r="V245" s="19"/>
      <c r="W245" s="51"/>
      <c r="X245" s="57" t="str">
        <f t="shared" si="21"/>
        <v/>
      </c>
      <c r="Y245" s="57" t="str">
        <f t="shared" si="22"/>
        <v/>
      </c>
      <c r="Z245" s="57" t="str">
        <f t="shared" si="23"/>
        <v/>
      </c>
      <c r="AA245" s="58" t="str">
        <f t="shared" si="24"/>
        <v/>
      </c>
      <c r="AB245" s="58" t="str">
        <f t="shared" si="25"/>
        <v/>
      </c>
      <c r="AC245" s="57" t="str">
        <f t="shared" si="26"/>
        <v/>
      </c>
      <c r="AD245" s="59" t="str">
        <f t="shared" si="27"/>
        <v/>
      </c>
      <c r="AE245" s="54" t="str">
        <f>IF($B245="","",IF(NOT(ISNUMBER($AA245)),"Aguardando fechamento",IF($P245&gt;0,"ACAO: "&amp;TEXT($P245,"0")&amp;" carga(s) terceirizada(s) de forma evitavel",IF(IF(ISNUMBER($Z245),$Z245,0)&gt;IFERROR(INDEX(Parâmetros!$G$5:$G$10,MATCH($C245,Parâmetros!$B$5:$B$10,0)),""),"ALERTA: terceiros acima da meta",IF($AA245&gt;IFERROR(INDEX(Parâmetros!$D$5:$D$10,MATCH($C245,Parâmetros!$B$5:$B$10,0)),""),"ALERTA: custo/km acima da meta","OK - dentro das metas")))))</f>
        <v/>
      </c>
    </row>
    <row r="246" spans="2:31" ht="15" customHeight="1" x14ac:dyDescent="0.3">
      <c r="B246" s="48"/>
      <c r="C246" s="49"/>
      <c r="D246" s="50"/>
      <c r="E246" s="51"/>
      <c r="F246" s="52"/>
      <c r="G246" s="51"/>
      <c r="H246" s="51"/>
      <c r="I246" s="53" t="str">
        <f>IF($B246="","",IFERROR($G246*IFERROR(INDEX(Parâmetros!$C$5:$C$10,MATCH($C246,Parâmetros!$B$5:$B$10,0)),"")/Parâmetros!$C$13,""))</f>
        <v/>
      </c>
      <c r="J246" s="53" t="str">
        <f>IF($B246="","",IFERROR($E246*IFERROR(INDEX(Parâmetros!$E$5:$E$10,MATCH($C246,Parâmetros!$B$5:$B$10,0)),"")-$I246,""))</f>
        <v/>
      </c>
      <c r="K246" s="54" t="str">
        <f>IF($B246="","",IF(NOT(ISNUMBER($J246)),"",IF($J246&lt;=0,"OK - frota cobre a meta do dia",IF($J246&lt;=Parâmetros!$C$15,"ATENCAO - faltam "&amp;TEXT($J246,"0")&amp;" viagem(ns) de frota","CRITICO - faltam "&amp;TEXT($J246,"0")&amp;" viagens: acionar plano"))))</f>
        <v/>
      </c>
      <c r="L246" s="51"/>
      <c r="M246" s="51"/>
      <c r="N246" s="51"/>
      <c r="O246" s="50"/>
      <c r="P246" s="51"/>
      <c r="Q246" s="51"/>
      <c r="R246" s="55"/>
      <c r="S246" s="56"/>
      <c r="T246" s="56"/>
      <c r="U246" s="56"/>
      <c r="V246" s="19"/>
      <c r="W246" s="51"/>
      <c r="X246" s="57" t="str">
        <f t="shared" si="21"/>
        <v/>
      </c>
      <c r="Y246" s="57" t="str">
        <f t="shared" si="22"/>
        <v/>
      </c>
      <c r="Z246" s="57" t="str">
        <f t="shared" si="23"/>
        <v/>
      </c>
      <c r="AA246" s="58" t="str">
        <f t="shared" si="24"/>
        <v/>
      </c>
      <c r="AB246" s="58" t="str">
        <f t="shared" si="25"/>
        <v/>
      </c>
      <c r="AC246" s="57" t="str">
        <f t="shared" si="26"/>
        <v/>
      </c>
      <c r="AD246" s="59" t="str">
        <f t="shared" si="27"/>
        <v/>
      </c>
      <c r="AE246" s="54" t="str">
        <f>IF($B246="","",IF(NOT(ISNUMBER($AA246)),"Aguardando fechamento",IF($P246&gt;0,"ACAO: "&amp;TEXT($P246,"0")&amp;" carga(s) terceirizada(s) de forma evitavel",IF(IF(ISNUMBER($Z246),$Z246,0)&gt;IFERROR(INDEX(Parâmetros!$G$5:$G$10,MATCH($C246,Parâmetros!$B$5:$B$10,0)),""),"ALERTA: terceiros acima da meta",IF($AA246&gt;IFERROR(INDEX(Parâmetros!$D$5:$D$10,MATCH($C246,Parâmetros!$B$5:$B$10,0)),""),"ALERTA: custo/km acima da meta","OK - dentro das metas")))))</f>
        <v/>
      </c>
    </row>
    <row r="247" spans="2:31" ht="15" customHeight="1" x14ac:dyDescent="0.3">
      <c r="B247" s="48"/>
      <c r="C247" s="49"/>
      <c r="D247" s="50"/>
      <c r="E247" s="51"/>
      <c r="F247" s="52"/>
      <c r="G247" s="51"/>
      <c r="H247" s="51"/>
      <c r="I247" s="53" t="str">
        <f>IF($B247="","",IFERROR($G247*IFERROR(INDEX(Parâmetros!$C$5:$C$10,MATCH($C247,Parâmetros!$B$5:$B$10,0)),"")/Parâmetros!$C$13,""))</f>
        <v/>
      </c>
      <c r="J247" s="53" t="str">
        <f>IF($B247="","",IFERROR($E247*IFERROR(INDEX(Parâmetros!$E$5:$E$10,MATCH($C247,Parâmetros!$B$5:$B$10,0)),"")-$I247,""))</f>
        <v/>
      </c>
      <c r="K247" s="54" t="str">
        <f>IF($B247="","",IF(NOT(ISNUMBER($J247)),"",IF($J247&lt;=0,"OK - frota cobre a meta do dia",IF($J247&lt;=Parâmetros!$C$15,"ATENCAO - faltam "&amp;TEXT($J247,"0")&amp;" viagem(ns) de frota","CRITICO - faltam "&amp;TEXT($J247,"0")&amp;" viagens: acionar plano"))))</f>
        <v/>
      </c>
      <c r="L247" s="51"/>
      <c r="M247" s="51"/>
      <c r="N247" s="51"/>
      <c r="O247" s="50"/>
      <c r="P247" s="51"/>
      <c r="Q247" s="51"/>
      <c r="R247" s="55"/>
      <c r="S247" s="56"/>
      <c r="T247" s="56"/>
      <c r="U247" s="56"/>
      <c r="V247" s="19"/>
      <c r="W247" s="51"/>
      <c r="X247" s="57" t="str">
        <f t="shared" si="21"/>
        <v/>
      </c>
      <c r="Y247" s="57" t="str">
        <f t="shared" si="22"/>
        <v/>
      </c>
      <c r="Z247" s="57" t="str">
        <f t="shared" si="23"/>
        <v/>
      </c>
      <c r="AA247" s="58" t="str">
        <f t="shared" si="24"/>
        <v/>
      </c>
      <c r="AB247" s="58" t="str">
        <f t="shared" si="25"/>
        <v/>
      </c>
      <c r="AC247" s="57" t="str">
        <f t="shared" si="26"/>
        <v/>
      </c>
      <c r="AD247" s="59" t="str">
        <f t="shared" si="27"/>
        <v/>
      </c>
      <c r="AE247" s="54" t="str">
        <f>IF($B247="","",IF(NOT(ISNUMBER($AA247)),"Aguardando fechamento",IF($P247&gt;0,"ACAO: "&amp;TEXT($P247,"0")&amp;" carga(s) terceirizada(s) de forma evitavel",IF(IF(ISNUMBER($Z247),$Z247,0)&gt;IFERROR(INDEX(Parâmetros!$G$5:$G$10,MATCH($C247,Parâmetros!$B$5:$B$10,0)),""),"ALERTA: terceiros acima da meta",IF($AA247&gt;IFERROR(INDEX(Parâmetros!$D$5:$D$10,MATCH($C247,Parâmetros!$B$5:$B$10,0)),""),"ALERTA: custo/km acima da meta","OK - dentro das metas")))))</f>
        <v/>
      </c>
    </row>
    <row r="248" spans="2:31" ht="15" customHeight="1" x14ac:dyDescent="0.3">
      <c r="B248" s="48"/>
      <c r="C248" s="49"/>
      <c r="D248" s="50"/>
      <c r="E248" s="51"/>
      <c r="F248" s="52"/>
      <c r="G248" s="51"/>
      <c r="H248" s="51"/>
      <c r="I248" s="53" t="str">
        <f>IF($B248="","",IFERROR($G248*IFERROR(INDEX(Parâmetros!$C$5:$C$10,MATCH($C248,Parâmetros!$B$5:$B$10,0)),"")/Parâmetros!$C$13,""))</f>
        <v/>
      </c>
      <c r="J248" s="53" t="str">
        <f>IF($B248="","",IFERROR($E248*IFERROR(INDEX(Parâmetros!$E$5:$E$10,MATCH($C248,Parâmetros!$B$5:$B$10,0)),"")-$I248,""))</f>
        <v/>
      </c>
      <c r="K248" s="54" t="str">
        <f>IF($B248="","",IF(NOT(ISNUMBER($J248)),"",IF($J248&lt;=0,"OK - frota cobre a meta do dia",IF($J248&lt;=Parâmetros!$C$15,"ATENCAO - faltam "&amp;TEXT($J248,"0")&amp;" viagem(ns) de frota","CRITICO - faltam "&amp;TEXT($J248,"0")&amp;" viagens: acionar plano"))))</f>
        <v/>
      </c>
      <c r="L248" s="51"/>
      <c r="M248" s="51"/>
      <c r="N248" s="51"/>
      <c r="O248" s="50"/>
      <c r="P248" s="51"/>
      <c r="Q248" s="51"/>
      <c r="R248" s="55"/>
      <c r="S248" s="56"/>
      <c r="T248" s="56"/>
      <c r="U248" s="56"/>
      <c r="V248" s="19"/>
      <c r="W248" s="51"/>
      <c r="X248" s="57" t="str">
        <f t="shared" si="21"/>
        <v/>
      </c>
      <c r="Y248" s="57" t="str">
        <f t="shared" si="22"/>
        <v/>
      </c>
      <c r="Z248" s="57" t="str">
        <f t="shared" si="23"/>
        <v/>
      </c>
      <c r="AA248" s="58" t="str">
        <f t="shared" si="24"/>
        <v/>
      </c>
      <c r="AB248" s="58" t="str">
        <f t="shared" si="25"/>
        <v/>
      </c>
      <c r="AC248" s="57" t="str">
        <f t="shared" si="26"/>
        <v/>
      </c>
      <c r="AD248" s="59" t="str">
        <f t="shared" si="27"/>
        <v/>
      </c>
      <c r="AE248" s="54" t="str">
        <f>IF($B248="","",IF(NOT(ISNUMBER($AA248)),"Aguardando fechamento",IF($P248&gt;0,"ACAO: "&amp;TEXT($P248,"0")&amp;" carga(s) terceirizada(s) de forma evitavel",IF(IF(ISNUMBER($Z248),$Z248,0)&gt;IFERROR(INDEX(Parâmetros!$G$5:$G$10,MATCH($C248,Parâmetros!$B$5:$B$10,0)),""),"ALERTA: terceiros acima da meta",IF($AA248&gt;IFERROR(INDEX(Parâmetros!$D$5:$D$10,MATCH($C248,Parâmetros!$B$5:$B$10,0)),""),"ALERTA: custo/km acima da meta","OK - dentro das metas")))))</f>
        <v/>
      </c>
    </row>
    <row r="249" spans="2:31" ht="15" customHeight="1" x14ac:dyDescent="0.3">
      <c r="B249" s="48"/>
      <c r="C249" s="49"/>
      <c r="D249" s="50"/>
      <c r="E249" s="51"/>
      <c r="F249" s="52"/>
      <c r="G249" s="51"/>
      <c r="H249" s="51"/>
      <c r="I249" s="53" t="str">
        <f>IF($B249="","",IFERROR($G249*IFERROR(INDEX(Parâmetros!$C$5:$C$10,MATCH($C249,Parâmetros!$B$5:$B$10,0)),"")/Parâmetros!$C$13,""))</f>
        <v/>
      </c>
      <c r="J249" s="53" t="str">
        <f>IF($B249="","",IFERROR($E249*IFERROR(INDEX(Parâmetros!$E$5:$E$10,MATCH($C249,Parâmetros!$B$5:$B$10,0)),"")-$I249,""))</f>
        <v/>
      </c>
      <c r="K249" s="54" t="str">
        <f>IF($B249="","",IF(NOT(ISNUMBER($J249)),"",IF($J249&lt;=0,"OK - frota cobre a meta do dia",IF($J249&lt;=Parâmetros!$C$15,"ATENCAO - faltam "&amp;TEXT($J249,"0")&amp;" viagem(ns) de frota","CRITICO - faltam "&amp;TEXT($J249,"0")&amp;" viagens: acionar plano"))))</f>
        <v/>
      </c>
      <c r="L249" s="51"/>
      <c r="M249" s="51"/>
      <c r="N249" s="51"/>
      <c r="O249" s="50"/>
      <c r="P249" s="51"/>
      <c r="Q249" s="51"/>
      <c r="R249" s="55"/>
      <c r="S249" s="56"/>
      <c r="T249" s="56"/>
      <c r="U249" s="56"/>
      <c r="V249" s="19"/>
      <c r="W249" s="51"/>
      <c r="X249" s="57" t="str">
        <f t="shared" si="21"/>
        <v/>
      </c>
      <c r="Y249" s="57" t="str">
        <f t="shared" si="22"/>
        <v/>
      </c>
      <c r="Z249" s="57" t="str">
        <f t="shared" si="23"/>
        <v/>
      </c>
      <c r="AA249" s="58" t="str">
        <f t="shared" si="24"/>
        <v/>
      </c>
      <c r="AB249" s="58" t="str">
        <f t="shared" si="25"/>
        <v/>
      </c>
      <c r="AC249" s="57" t="str">
        <f t="shared" si="26"/>
        <v/>
      </c>
      <c r="AD249" s="59" t="str">
        <f t="shared" si="27"/>
        <v/>
      </c>
      <c r="AE249" s="54" t="str">
        <f>IF($B249="","",IF(NOT(ISNUMBER($AA249)),"Aguardando fechamento",IF($P249&gt;0,"ACAO: "&amp;TEXT($P249,"0")&amp;" carga(s) terceirizada(s) de forma evitavel",IF(IF(ISNUMBER($Z249),$Z249,0)&gt;IFERROR(INDEX(Parâmetros!$G$5:$G$10,MATCH($C249,Parâmetros!$B$5:$B$10,0)),""),"ALERTA: terceiros acima da meta",IF($AA249&gt;IFERROR(INDEX(Parâmetros!$D$5:$D$10,MATCH($C249,Parâmetros!$B$5:$B$10,0)),""),"ALERTA: custo/km acima da meta","OK - dentro das metas")))))</f>
        <v/>
      </c>
    </row>
    <row r="250" spans="2:31" ht="15" customHeight="1" x14ac:dyDescent="0.3">
      <c r="B250" s="48"/>
      <c r="C250" s="49"/>
      <c r="D250" s="50"/>
      <c r="E250" s="51"/>
      <c r="F250" s="52"/>
      <c r="G250" s="51"/>
      <c r="H250" s="51"/>
      <c r="I250" s="53" t="str">
        <f>IF($B250="","",IFERROR($G250*IFERROR(INDEX(Parâmetros!$C$5:$C$10,MATCH($C250,Parâmetros!$B$5:$B$10,0)),"")/Parâmetros!$C$13,""))</f>
        <v/>
      </c>
      <c r="J250" s="53" t="str">
        <f>IF($B250="","",IFERROR($E250*IFERROR(INDEX(Parâmetros!$E$5:$E$10,MATCH($C250,Parâmetros!$B$5:$B$10,0)),"")-$I250,""))</f>
        <v/>
      </c>
      <c r="K250" s="54" t="str">
        <f>IF($B250="","",IF(NOT(ISNUMBER($J250)),"",IF($J250&lt;=0,"OK - frota cobre a meta do dia",IF($J250&lt;=Parâmetros!$C$15,"ATENCAO - faltam "&amp;TEXT($J250,"0")&amp;" viagem(ns) de frota","CRITICO - faltam "&amp;TEXT($J250,"0")&amp;" viagens: acionar plano"))))</f>
        <v/>
      </c>
      <c r="L250" s="51"/>
      <c r="M250" s="51"/>
      <c r="N250" s="51"/>
      <c r="O250" s="50"/>
      <c r="P250" s="51"/>
      <c r="Q250" s="51"/>
      <c r="R250" s="55"/>
      <c r="S250" s="56"/>
      <c r="T250" s="56"/>
      <c r="U250" s="56"/>
      <c r="V250" s="19"/>
      <c r="W250" s="51"/>
      <c r="X250" s="57" t="str">
        <f t="shared" si="21"/>
        <v/>
      </c>
      <c r="Y250" s="57" t="str">
        <f t="shared" si="22"/>
        <v/>
      </c>
      <c r="Z250" s="57" t="str">
        <f t="shared" si="23"/>
        <v/>
      </c>
      <c r="AA250" s="58" t="str">
        <f t="shared" si="24"/>
        <v/>
      </c>
      <c r="AB250" s="58" t="str">
        <f t="shared" si="25"/>
        <v/>
      </c>
      <c r="AC250" s="57" t="str">
        <f t="shared" si="26"/>
        <v/>
      </c>
      <c r="AD250" s="59" t="str">
        <f t="shared" si="27"/>
        <v/>
      </c>
      <c r="AE250" s="54" t="str">
        <f>IF($B250="","",IF(NOT(ISNUMBER($AA250)),"Aguardando fechamento",IF($P250&gt;0,"ACAO: "&amp;TEXT($P250,"0")&amp;" carga(s) terceirizada(s) de forma evitavel",IF(IF(ISNUMBER($Z250),$Z250,0)&gt;IFERROR(INDEX(Parâmetros!$G$5:$G$10,MATCH($C250,Parâmetros!$B$5:$B$10,0)),""),"ALERTA: terceiros acima da meta",IF($AA250&gt;IFERROR(INDEX(Parâmetros!$D$5:$D$10,MATCH($C250,Parâmetros!$B$5:$B$10,0)),""),"ALERTA: custo/km acima da meta","OK - dentro das metas")))))</f>
        <v/>
      </c>
    </row>
    <row r="251" spans="2:31" ht="15" customHeight="1" x14ac:dyDescent="0.3">
      <c r="B251" s="48"/>
      <c r="C251" s="49"/>
      <c r="D251" s="50"/>
      <c r="E251" s="51"/>
      <c r="F251" s="52"/>
      <c r="G251" s="51"/>
      <c r="H251" s="51"/>
      <c r="I251" s="53" t="str">
        <f>IF($B251="","",IFERROR($G251*IFERROR(INDEX(Parâmetros!$C$5:$C$10,MATCH($C251,Parâmetros!$B$5:$B$10,0)),"")/Parâmetros!$C$13,""))</f>
        <v/>
      </c>
      <c r="J251" s="53" t="str">
        <f>IF($B251="","",IFERROR($E251*IFERROR(INDEX(Parâmetros!$E$5:$E$10,MATCH($C251,Parâmetros!$B$5:$B$10,0)),"")-$I251,""))</f>
        <v/>
      </c>
      <c r="K251" s="54" t="str">
        <f>IF($B251="","",IF(NOT(ISNUMBER($J251)),"",IF($J251&lt;=0,"OK - frota cobre a meta do dia",IF($J251&lt;=Parâmetros!$C$15,"ATENCAO - faltam "&amp;TEXT($J251,"0")&amp;" viagem(ns) de frota","CRITICO - faltam "&amp;TEXT($J251,"0")&amp;" viagens: acionar plano"))))</f>
        <v/>
      </c>
      <c r="L251" s="51"/>
      <c r="M251" s="51"/>
      <c r="N251" s="51"/>
      <c r="O251" s="50"/>
      <c r="P251" s="51"/>
      <c r="Q251" s="51"/>
      <c r="R251" s="55"/>
      <c r="S251" s="56"/>
      <c r="T251" s="56"/>
      <c r="U251" s="56"/>
      <c r="V251" s="19"/>
      <c r="W251" s="51"/>
      <c r="X251" s="57" t="str">
        <f t="shared" si="21"/>
        <v/>
      </c>
      <c r="Y251" s="57" t="str">
        <f t="shared" si="22"/>
        <v/>
      </c>
      <c r="Z251" s="57" t="str">
        <f t="shared" si="23"/>
        <v/>
      </c>
      <c r="AA251" s="58" t="str">
        <f t="shared" si="24"/>
        <v/>
      </c>
      <c r="AB251" s="58" t="str">
        <f t="shared" si="25"/>
        <v/>
      </c>
      <c r="AC251" s="57" t="str">
        <f t="shared" si="26"/>
        <v/>
      </c>
      <c r="AD251" s="59" t="str">
        <f t="shared" si="27"/>
        <v/>
      </c>
      <c r="AE251" s="54" t="str">
        <f>IF($B251="","",IF(NOT(ISNUMBER($AA251)),"Aguardando fechamento",IF($P251&gt;0,"ACAO: "&amp;TEXT($P251,"0")&amp;" carga(s) terceirizada(s) de forma evitavel",IF(IF(ISNUMBER($Z251),$Z251,0)&gt;IFERROR(INDEX(Parâmetros!$G$5:$G$10,MATCH($C251,Parâmetros!$B$5:$B$10,0)),""),"ALERTA: terceiros acima da meta",IF($AA251&gt;IFERROR(INDEX(Parâmetros!$D$5:$D$10,MATCH($C251,Parâmetros!$B$5:$B$10,0)),""),"ALERTA: custo/km acima da meta","OK - dentro das metas")))))</f>
        <v/>
      </c>
    </row>
    <row r="252" spans="2:31" ht="15" customHeight="1" x14ac:dyDescent="0.3">
      <c r="B252" s="48"/>
      <c r="C252" s="49"/>
      <c r="D252" s="50"/>
      <c r="E252" s="51"/>
      <c r="F252" s="52"/>
      <c r="G252" s="51"/>
      <c r="H252" s="51"/>
      <c r="I252" s="53" t="str">
        <f>IF($B252="","",IFERROR($G252*IFERROR(INDEX(Parâmetros!$C$5:$C$10,MATCH($C252,Parâmetros!$B$5:$B$10,0)),"")/Parâmetros!$C$13,""))</f>
        <v/>
      </c>
      <c r="J252" s="53" t="str">
        <f>IF($B252="","",IFERROR($E252*IFERROR(INDEX(Parâmetros!$E$5:$E$10,MATCH($C252,Parâmetros!$B$5:$B$10,0)),"")-$I252,""))</f>
        <v/>
      </c>
      <c r="K252" s="54" t="str">
        <f>IF($B252="","",IF(NOT(ISNUMBER($J252)),"",IF($J252&lt;=0,"OK - frota cobre a meta do dia",IF($J252&lt;=Parâmetros!$C$15,"ATENCAO - faltam "&amp;TEXT($J252,"0")&amp;" viagem(ns) de frota","CRITICO - faltam "&amp;TEXT($J252,"0")&amp;" viagens: acionar plano"))))</f>
        <v/>
      </c>
      <c r="L252" s="51"/>
      <c r="M252" s="51"/>
      <c r="N252" s="51"/>
      <c r="O252" s="50"/>
      <c r="P252" s="51"/>
      <c r="Q252" s="51"/>
      <c r="R252" s="55"/>
      <c r="S252" s="56"/>
      <c r="T252" s="56"/>
      <c r="U252" s="56"/>
      <c r="V252" s="19"/>
      <c r="W252" s="51"/>
      <c r="X252" s="57" t="str">
        <f t="shared" si="21"/>
        <v/>
      </c>
      <c r="Y252" s="57" t="str">
        <f t="shared" si="22"/>
        <v/>
      </c>
      <c r="Z252" s="57" t="str">
        <f t="shared" si="23"/>
        <v/>
      </c>
      <c r="AA252" s="58" t="str">
        <f t="shared" si="24"/>
        <v/>
      </c>
      <c r="AB252" s="58" t="str">
        <f t="shared" si="25"/>
        <v/>
      </c>
      <c r="AC252" s="57" t="str">
        <f t="shared" si="26"/>
        <v/>
      </c>
      <c r="AD252" s="59" t="str">
        <f t="shared" si="27"/>
        <v/>
      </c>
      <c r="AE252" s="54" t="str">
        <f>IF($B252="","",IF(NOT(ISNUMBER($AA252)),"Aguardando fechamento",IF($P252&gt;0,"ACAO: "&amp;TEXT($P252,"0")&amp;" carga(s) terceirizada(s) de forma evitavel",IF(IF(ISNUMBER($Z252),$Z252,0)&gt;IFERROR(INDEX(Parâmetros!$G$5:$G$10,MATCH($C252,Parâmetros!$B$5:$B$10,0)),""),"ALERTA: terceiros acima da meta",IF($AA252&gt;IFERROR(INDEX(Parâmetros!$D$5:$D$10,MATCH($C252,Parâmetros!$B$5:$B$10,0)),""),"ALERTA: custo/km acima da meta","OK - dentro das metas")))))</f>
        <v/>
      </c>
    </row>
    <row r="253" spans="2:31" ht="15" customHeight="1" x14ac:dyDescent="0.3">
      <c r="B253" s="48"/>
      <c r="C253" s="49"/>
      <c r="D253" s="50"/>
      <c r="E253" s="51"/>
      <c r="F253" s="52"/>
      <c r="G253" s="51"/>
      <c r="H253" s="51"/>
      <c r="I253" s="53" t="str">
        <f>IF($B253="","",IFERROR($G253*IFERROR(INDEX(Parâmetros!$C$5:$C$10,MATCH($C253,Parâmetros!$B$5:$B$10,0)),"")/Parâmetros!$C$13,""))</f>
        <v/>
      </c>
      <c r="J253" s="53" t="str">
        <f>IF($B253="","",IFERROR($E253*IFERROR(INDEX(Parâmetros!$E$5:$E$10,MATCH($C253,Parâmetros!$B$5:$B$10,0)),"")-$I253,""))</f>
        <v/>
      </c>
      <c r="K253" s="54" t="str">
        <f>IF($B253="","",IF(NOT(ISNUMBER($J253)),"",IF($J253&lt;=0,"OK - frota cobre a meta do dia",IF($J253&lt;=Parâmetros!$C$15,"ATENCAO - faltam "&amp;TEXT($J253,"0")&amp;" viagem(ns) de frota","CRITICO - faltam "&amp;TEXT($J253,"0")&amp;" viagens: acionar plano"))))</f>
        <v/>
      </c>
      <c r="L253" s="51"/>
      <c r="M253" s="51"/>
      <c r="N253" s="51"/>
      <c r="O253" s="50"/>
      <c r="P253" s="51"/>
      <c r="Q253" s="51"/>
      <c r="R253" s="55"/>
      <c r="S253" s="56"/>
      <c r="T253" s="56"/>
      <c r="U253" s="56"/>
      <c r="V253" s="19"/>
      <c r="W253" s="51"/>
      <c r="X253" s="57" t="str">
        <f t="shared" si="21"/>
        <v/>
      </c>
      <c r="Y253" s="57" t="str">
        <f t="shared" si="22"/>
        <v/>
      </c>
      <c r="Z253" s="57" t="str">
        <f t="shared" si="23"/>
        <v/>
      </c>
      <c r="AA253" s="58" t="str">
        <f t="shared" si="24"/>
        <v/>
      </c>
      <c r="AB253" s="58" t="str">
        <f t="shared" si="25"/>
        <v/>
      </c>
      <c r="AC253" s="57" t="str">
        <f t="shared" si="26"/>
        <v/>
      </c>
      <c r="AD253" s="59" t="str">
        <f t="shared" si="27"/>
        <v/>
      </c>
      <c r="AE253" s="54" t="str">
        <f>IF($B253="","",IF(NOT(ISNUMBER($AA253)),"Aguardando fechamento",IF($P253&gt;0,"ACAO: "&amp;TEXT($P253,"0")&amp;" carga(s) terceirizada(s) de forma evitavel",IF(IF(ISNUMBER($Z253),$Z253,0)&gt;IFERROR(INDEX(Parâmetros!$G$5:$G$10,MATCH($C253,Parâmetros!$B$5:$B$10,0)),""),"ALERTA: terceiros acima da meta",IF($AA253&gt;IFERROR(INDEX(Parâmetros!$D$5:$D$10,MATCH($C253,Parâmetros!$B$5:$B$10,0)),""),"ALERTA: custo/km acima da meta","OK - dentro das metas")))))</f>
        <v/>
      </c>
    </row>
    <row r="254" spans="2:31" ht="15" customHeight="1" x14ac:dyDescent="0.3">
      <c r="B254" s="48"/>
      <c r="C254" s="49"/>
      <c r="D254" s="50"/>
      <c r="E254" s="51"/>
      <c r="F254" s="52"/>
      <c r="G254" s="51"/>
      <c r="H254" s="51"/>
      <c r="I254" s="53" t="str">
        <f>IF($B254="","",IFERROR($G254*IFERROR(INDEX(Parâmetros!$C$5:$C$10,MATCH($C254,Parâmetros!$B$5:$B$10,0)),"")/Parâmetros!$C$13,""))</f>
        <v/>
      </c>
      <c r="J254" s="53" t="str">
        <f>IF($B254="","",IFERROR($E254*IFERROR(INDEX(Parâmetros!$E$5:$E$10,MATCH($C254,Parâmetros!$B$5:$B$10,0)),"")-$I254,""))</f>
        <v/>
      </c>
      <c r="K254" s="54" t="str">
        <f>IF($B254="","",IF(NOT(ISNUMBER($J254)),"",IF($J254&lt;=0,"OK - frota cobre a meta do dia",IF($J254&lt;=Parâmetros!$C$15,"ATENCAO - faltam "&amp;TEXT($J254,"0")&amp;" viagem(ns) de frota","CRITICO - faltam "&amp;TEXT($J254,"0")&amp;" viagens: acionar plano"))))</f>
        <v/>
      </c>
      <c r="L254" s="51"/>
      <c r="M254" s="51"/>
      <c r="N254" s="51"/>
      <c r="O254" s="50"/>
      <c r="P254" s="51"/>
      <c r="Q254" s="51"/>
      <c r="R254" s="55"/>
      <c r="S254" s="56"/>
      <c r="T254" s="56"/>
      <c r="U254" s="56"/>
      <c r="V254" s="19"/>
      <c r="W254" s="51"/>
      <c r="X254" s="57" t="str">
        <f t="shared" si="21"/>
        <v/>
      </c>
      <c r="Y254" s="57" t="str">
        <f t="shared" si="22"/>
        <v/>
      </c>
      <c r="Z254" s="57" t="str">
        <f t="shared" si="23"/>
        <v/>
      </c>
      <c r="AA254" s="58" t="str">
        <f t="shared" si="24"/>
        <v/>
      </c>
      <c r="AB254" s="58" t="str">
        <f t="shared" si="25"/>
        <v/>
      </c>
      <c r="AC254" s="57" t="str">
        <f t="shared" si="26"/>
        <v/>
      </c>
      <c r="AD254" s="59" t="str">
        <f t="shared" si="27"/>
        <v/>
      </c>
      <c r="AE254" s="54" t="str">
        <f>IF($B254="","",IF(NOT(ISNUMBER($AA254)),"Aguardando fechamento",IF($P254&gt;0,"ACAO: "&amp;TEXT($P254,"0")&amp;" carga(s) terceirizada(s) de forma evitavel",IF(IF(ISNUMBER($Z254),$Z254,0)&gt;IFERROR(INDEX(Parâmetros!$G$5:$G$10,MATCH($C254,Parâmetros!$B$5:$B$10,0)),""),"ALERTA: terceiros acima da meta",IF($AA254&gt;IFERROR(INDEX(Parâmetros!$D$5:$D$10,MATCH($C254,Parâmetros!$B$5:$B$10,0)),""),"ALERTA: custo/km acima da meta","OK - dentro das metas")))))</f>
        <v/>
      </c>
    </row>
    <row r="255" spans="2:31" ht="15" customHeight="1" x14ac:dyDescent="0.3">
      <c r="B255" s="48"/>
      <c r="C255" s="49"/>
      <c r="D255" s="50"/>
      <c r="E255" s="51"/>
      <c r="F255" s="52"/>
      <c r="G255" s="51"/>
      <c r="H255" s="51"/>
      <c r="I255" s="53" t="str">
        <f>IF($B255="","",IFERROR($G255*IFERROR(INDEX(Parâmetros!$C$5:$C$10,MATCH($C255,Parâmetros!$B$5:$B$10,0)),"")/Parâmetros!$C$13,""))</f>
        <v/>
      </c>
      <c r="J255" s="53" t="str">
        <f>IF($B255="","",IFERROR($E255*IFERROR(INDEX(Parâmetros!$E$5:$E$10,MATCH($C255,Parâmetros!$B$5:$B$10,0)),"")-$I255,""))</f>
        <v/>
      </c>
      <c r="K255" s="54" t="str">
        <f>IF($B255="","",IF(NOT(ISNUMBER($J255)),"",IF($J255&lt;=0,"OK - frota cobre a meta do dia",IF($J255&lt;=Parâmetros!$C$15,"ATENCAO - faltam "&amp;TEXT($J255,"0")&amp;" viagem(ns) de frota","CRITICO - faltam "&amp;TEXT($J255,"0")&amp;" viagens: acionar plano"))))</f>
        <v/>
      </c>
      <c r="L255" s="51"/>
      <c r="M255" s="51"/>
      <c r="N255" s="51"/>
      <c r="O255" s="50"/>
      <c r="P255" s="51"/>
      <c r="Q255" s="51"/>
      <c r="R255" s="55"/>
      <c r="S255" s="56"/>
      <c r="T255" s="56"/>
      <c r="U255" s="56"/>
      <c r="V255" s="19"/>
      <c r="W255" s="51"/>
      <c r="X255" s="57" t="str">
        <f t="shared" si="21"/>
        <v/>
      </c>
      <c r="Y255" s="57" t="str">
        <f t="shared" si="22"/>
        <v/>
      </c>
      <c r="Z255" s="57" t="str">
        <f t="shared" si="23"/>
        <v/>
      </c>
      <c r="AA255" s="58" t="str">
        <f t="shared" si="24"/>
        <v/>
      </c>
      <c r="AB255" s="58" t="str">
        <f t="shared" si="25"/>
        <v/>
      </c>
      <c r="AC255" s="57" t="str">
        <f t="shared" si="26"/>
        <v/>
      </c>
      <c r="AD255" s="59" t="str">
        <f t="shared" si="27"/>
        <v/>
      </c>
      <c r="AE255" s="54" t="str">
        <f>IF($B255="","",IF(NOT(ISNUMBER($AA255)),"Aguardando fechamento",IF($P255&gt;0,"ACAO: "&amp;TEXT($P255,"0")&amp;" carga(s) terceirizada(s) de forma evitavel",IF(IF(ISNUMBER($Z255),$Z255,0)&gt;IFERROR(INDEX(Parâmetros!$G$5:$G$10,MATCH($C255,Parâmetros!$B$5:$B$10,0)),""),"ALERTA: terceiros acima da meta",IF($AA255&gt;IFERROR(INDEX(Parâmetros!$D$5:$D$10,MATCH($C255,Parâmetros!$B$5:$B$10,0)),""),"ALERTA: custo/km acima da meta","OK - dentro das metas")))))</f>
        <v/>
      </c>
    </row>
  </sheetData>
  <autoFilter ref="B5:AE255" xr:uid="{00000000-0009-0000-0000-000004000000}"/>
  <mergeCells count="4">
    <mergeCell ref="B4:K4"/>
    <mergeCell ref="L4:P4"/>
    <mergeCell ref="Q4:W4"/>
    <mergeCell ref="X4:AE4"/>
  </mergeCells>
  <conditionalFormatting sqref="K6:K255">
    <cfRule type="expression" dxfId="9" priority="5">
      <formula>ISNUMBER(SEARCH("CRITICO",$K6))</formula>
    </cfRule>
    <cfRule type="expression" dxfId="8" priority="6">
      <formula>ISNUMBER(SEARCH("ATENCAO",$K6))</formula>
    </cfRule>
    <cfRule type="expression" dxfId="7" priority="7">
      <formula>ISNUMBER(SEARCH("OK",$K6))</formula>
    </cfRule>
  </conditionalFormatting>
  <conditionalFormatting sqref="AD6:AD255">
    <cfRule type="cellIs" dxfId="6" priority="8" operator="greaterThan">
      <formula>0</formula>
    </cfRule>
  </conditionalFormatting>
  <conditionalFormatting sqref="AE6:AE255">
    <cfRule type="expression" dxfId="5" priority="2">
      <formula>ISNUMBER(SEARCH("ACAO",$AE6))</formula>
    </cfRule>
    <cfRule type="expression" dxfId="4" priority="3">
      <formula>ISNUMBER(SEARCH("ALERTA",$AE6))</formula>
    </cfRule>
    <cfRule type="expression" dxfId="3" priority="4">
      <formula>ISNUMBER(SEARCH("OK",$AE6))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400-000000000000}">
          <x14:formula1>
            <xm:f>Parâmetros!$T$21:$T$26</xm:f>
          </x14:formula1>
          <x14:formula2>
            <xm:f>0</xm:f>
          </x14:formula2>
          <xm:sqref>C6:C255</xm:sqref>
        </x14:dataValidation>
        <x14:dataValidation type="list" allowBlank="1" xr:uid="{00000000-0002-0000-0400-000001000000}">
          <x14:formula1>
            <xm:f>Parâmetros!$U$21:$U$30</xm:f>
          </x14:formula1>
          <x14:formula2>
            <xm:f>0</xm:f>
          </x14:formula2>
          <xm:sqref>O6:O255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M28"/>
  <sheetViews>
    <sheetView showGridLines="0" zoomScaleNormal="100" workbookViewId="0"/>
  </sheetViews>
  <sheetFormatPr defaultColWidth="8.6640625" defaultRowHeight="14.4" x14ac:dyDescent="0.3"/>
  <cols>
    <col min="2" max="2" width="40" customWidth="1"/>
    <col min="3" max="12" width="14" customWidth="1"/>
    <col min="13" max="13" width="34" customWidth="1"/>
  </cols>
  <sheetData>
    <row r="2" spans="2:13" ht="17.399999999999999" x14ac:dyDescent="0.3">
      <c r="B2" s="1" t="s">
        <v>157</v>
      </c>
    </row>
    <row r="4" spans="2:13" x14ac:dyDescent="0.3">
      <c r="B4" s="6" t="s">
        <v>158</v>
      </c>
      <c r="C4" s="60">
        <f>DATE(2026,9,1)</f>
        <v>46266</v>
      </c>
      <c r="D4" s="20" t="s">
        <v>159</v>
      </c>
    </row>
    <row r="5" spans="2:13" x14ac:dyDescent="0.3">
      <c r="B5" s="6" t="s">
        <v>160</v>
      </c>
      <c r="C5" s="60">
        <f>DATE(2026,9,30)</f>
        <v>46295</v>
      </c>
    </row>
    <row r="7" spans="2:13" ht="39.75" customHeight="1" x14ac:dyDescent="0.3">
      <c r="B7" s="21" t="s">
        <v>29</v>
      </c>
      <c r="C7" s="21" t="s">
        <v>161</v>
      </c>
      <c r="D7" s="21" t="s">
        <v>148</v>
      </c>
      <c r="E7" s="21" t="s">
        <v>162</v>
      </c>
      <c r="F7" s="21" t="s">
        <v>149</v>
      </c>
      <c r="G7" s="21" t="s">
        <v>150</v>
      </c>
      <c r="H7" s="21" t="s">
        <v>163</v>
      </c>
      <c r="I7" s="21" t="s">
        <v>164</v>
      </c>
      <c r="J7" s="21" t="s">
        <v>163</v>
      </c>
      <c r="K7" s="21" t="s">
        <v>153</v>
      </c>
      <c r="L7" s="21" t="s">
        <v>165</v>
      </c>
      <c r="M7" s="21" t="s">
        <v>166</v>
      </c>
    </row>
    <row r="8" spans="2:13" x14ac:dyDescent="0.3">
      <c r="B8" s="22" t="s">
        <v>37</v>
      </c>
      <c r="C8" s="61">
        <f>(SUMIFS('Controle Diário'!$L$6:$L$255,'Controle Diário'!$C$6:$C$255,$B8,'Controle Diário'!$B$6:$B$255,"&gt;="&amp;$C$4,'Controle Diário'!$B$6:$B$255,"&lt;="&amp;$C$5)+SUMIFS('Controle Diário'!$M$6:$M$255,'Controle Diário'!$C$6:$C$255,$B8,'Controle Diário'!$B$6:$B$255,"&gt;="&amp;$C$4,'Controle Diário'!$B$6:$B$255,"&lt;="&amp;$C$5)+SUMIFS('Controle Diário'!$N$6:$N$255,'Controle Diário'!$C$6:$C$255,$B8,'Controle Diário'!$B$6:$B$255,"&gt;="&amp;$C$4,'Controle Diário'!$B$6:$B$255,"&lt;="&amp;$C$5))</f>
        <v>42</v>
      </c>
      <c r="D8" s="15">
        <f>IFERROR(SUMIFS('Controle Diário'!$L$6:$L$255,'Controle Diário'!$C$6:$C$255,$B8,'Controle Diário'!$B$6:$B$255,"&gt;="&amp;$C$4,'Controle Diário'!$B$6:$B$255,"&lt;="&amp;$C$5)/(SUMIFS('Controle Diário'!$L$6:$L$255,'Controle Diário'!$C$6:$C$255,$B8,'Controle Diário'!$B$6:$B$255,"&gt;="&amp;$C$4,'Controle Diário'!$B$6:$B$255,"&lt;="&amp;$C$5)+SUMIFS('Controle Diário'!$M$6:$M$255,'Controle Diário'!$C$6:$C$255,$B8,'Controle Diário'!$B$6:$B$255,"&gt;="&amp;$C$4,'Controle Diário'!$B$6:$B$255,"&lt;="&amp;$C$5)+SUMIFS('Controle Diário'!$N$6:$N$255,'Controle Diário'!$C$6:$C$255,$B8,'Controle Diário'!$B$6:$B$255,"&gt;="&amp;$C$4,'Controle Diário'!$B$6:$B$255,"&lt;="&amp;$C$5)),"")</f>
        <v>0.42857142857142855</v>
      </c>
      <c r="E8" s="45">
        <f>IFERROR(INDEX(Parâmetros!$E$5:$E$10,MATCH($B8,Parâmetros!$B$5:$B$10,0)),"")</f>
        <v>0.48</v>
      </c>
      <c r="F8" s="15">
        <f>IFERROR(SUMIFS('Controle Diário'!$M$6:$M$255,'Controle Diário'!$C$6:$C$255,$B8,'Controle Diário'!$B$6:$B$255,"&gt;="&amp;$C$4,'Controle Diário'!$B$6:$B$255,"&lt;="&amp;$C$5)/(SUMIFS('Controle Diário'!$L$6:$L$255,'Controle Diário'!$C$6:$C$255,$B8,'Controle Diário'!$B$6:$B$255,"&gt;="&amp;$C$4,'Controle Diário'!$B$6:$B$255,"&lt;="&amp;$C$5)+SUMIFS('Controle Diário'!$M$6:$M$255,'Controle Diário'!$C$6:$C$255,$B8,'Controle Diário'!$B$6:$B$255,"&gt;="&amp;$C$4,'Controle Diário'!$B$6:$B$255,"&lt;="&amp;$C$5)+SUMIFS('Controle Diário'!$N$6:$N$255,'Controle Diário'!$C$6:$C$255,$B8,'Controle Diário'!$B$6:$B$255,"&gt;="&amp;$C$4,'Controle Diário'!$B$6:$B$255,"&lt;="&amp;$C$5)),"")</f>
        <v>0.14285714285714285</v>
      </c>
      <c r="G8" s="15">
        <f>IFERROR(SUMIFS('Controle Diário'!$N$6:$N$255,'Controle Diário'!$C$6:$C$255,$B8,'Controle Diário'!$B$6:$B$255,"&gt;="&amp;$C$4,'Controle Diário'!$B$6:$B$255,"&lt;="&amp;$C$5)/(SUMIFS('Controle Diário'!$L$6:$L$255,'Controle Diário'!$C$6:$C$255,$B8,'Controle Diário'!$B$6:$B$255,"&gt;="&amp;$C$4,'Controle Diário'!$B$6:$B$255,"&lt;="&amp;$C$5)+SUMIFS('Controle Diário'!$M$6:$M$255,'Controle Diário'!$C$6:$C$255,$B8,'Controle Diário'!$B$6:$B$255,"&gt;="&amp;$C$4,'Controle Diário'!$B$6:$B$255,"&lt;="&amp;$C$5)+SUMIFS('Controle Diário'!$N$6:$N$255,'Controle Diário'!$C$6:$C$255,$B8,'Controle Diário'!$B$6:$B$255,"&gt;="&amp;$C$4,'Controle Diário'!$B$6:$B$255,"&lt;="&amp;$C$5)),"")</f>
        <v>0.42857142857142855</v>
      </c>
      <c r="H8" s="45">
        <f>IFERROR(INDEX(Parâmetros!$G$5:$G$10,MATCH($B8,Parâmetros!$B$5:$B$10,0)),"")</f>
        <v>0.38</v>
      </c>
      <c r="I8" s="14">
        <f>IFERROR(SUMIFS('Controle Diário'!$S$6:$S$255,'Controle Diário'!$C$6:$C$255,$B8,'Controle Diário'!$B$6:$B$255,"&gt;="&amp;$C$4,'Controle Diário'!$B$6:$B$255,"&lt;="&amp;$C$5)/SUMIFS('Controle Diário'!$R$6:$R$255,'Controle Diário'!$C$6:$C$255,$B8,'Controle Diário'!$B$6:$B$255,"&gt;="&amp;$C$4,'Controle Diário'!$B$6:$B$255,"&lt;="&amp;$C$5),"")</f>
        <v>5</v>
      </c>
      <c r="J8" s="46">
        <f>IFERROR(INDEX(Parâmetros!$D$5:$D$10,MATCH($B8,Parâmetros!$B$5:$B$10,0)),"")</f>
        <v>4.66</v>
      </c>
      <c r="K8" s="15">
        <f>IFERROR(SUMIFS('Controle Diário'!$T$6:$T$255,'Controle Diário'!$C$6:$C$255,$B8,'Controle Diário'!$B$6:$B$255,"&gt;="&amp;$C$4,'Controle Diário'!$B$6:$B$255,"&lt;="&amp;$C$5)/SUMIFS('Controle Diário'!$U$6:$U$255,'Controle Diário'!$C$6:$C$255,$B8,'Controle Diário'!$B$6:$B$255,"&gt;="&amp;$C$4,'Controle Diário'!$B$6:$B$255,"&lt;="&amp;$C$5),"")</f>
        <v>0.11379310344827587</v>
      </c>
      <c r="L8" s="62">
        <f>SUMIFS('Controle Diário'!$AD$6:$AD$255,'Controle Diário'!$C$6:$C$255,$B8,'Controle Diário'!$B$6:$B$255,"&gt;="&amp;$C$4,'Controle Diário'!$B$6:$B$255,"&lt;="&amp;$C$5)</f>
        <v>3150</v>
      </c>
      <c r="M8" s="5" t="str">
        <f t="shared" ref="M8:M13" si="0">IF($C8=0,"Sem lançamentos no período",IF(IF(ISNUMBER($L8),$L8,0)&gt;0,"CRITICO - custo evitavel no periodo",IF(IF(ISNUMBER($G8),$G8,0)&gt;IF(ISNUMBER($H8),$H8,1),"ATENCAO - terceiros acima da meta",IF(IF(ISNUMBER($I8),$I8,0)&gt;IF(ISNUMBER($J8),$J8,99),"ATENCAO - custo/km acima da meta",IF(IF(ISNUMBER($D8),$D8,1)&lt;IF(ISNUMBER($E8),$E8,0),"ATENCAO - frota abaixo do piso","OK - dentro das metas")))))</f>
        <v>CRITICO - custo evitavel no periodo</v>
      </c>
    </row>
    <row r="9" spans="2:13" x14ac:dyDescent="0.3">
      <c r="B9" s="22" t="s">
        <v>38</v>
      </c>
      <c r="C9" s="61">
        <f>(SUMIFS('Controle Diário'!$L$6:$L$255,'Controle Diário'!$C$6:$C$255,$B9,'Controle Diário'!$B$6:$B$255,"&gt;="&amp;$C$4,'Controle Diário'!$B$6:$B$255,"&lt;="&amp;$C$5)+SUMIFS('Controle Diário'!$M$6:$M$255,'Controle Diário'!$C$6:$C$255,$B9,'Controle Diário'!$B$6:$B$255,"&gt;="&amp;$C$4,'Controle Diário'!$B$6:$B$255,"&lt;="&amp;$C$5)+SUMIFS('Controle Diário'!$N$6:$N$255,'Controle Diário'!$C$6:$C$255,$B9,'Controle Diário'!$B$6:$B$255,"&gt;="&amp;$C$4,'Controle Diário'!$B$6:$B$255,"&lt;="&amp;$C$5))</f>
        <v>0</v>
      </c>
      <c r="D9" s="15" t="str">
        <f>IFERROR(SUMIFS('Controle Diário'!$L$6:$L$255,'Controle Diário'!$C$6:$C$255,$B9,'Controle Diário'!$B$6:$B$255,"&gt;="&amp;$C$4,'Controle Diário'!$B$6:$B$255,"&lt;="&amp;$C$5)/(SUMIFS('Controle Diário'!$L$6:$L$255,'Controle Diário'!$C$6:$C$255,$B9,'Controle Diário'!$B$6:$B$255,"&gt;="&amp;$C$4,'Controle Diário'!$B$6:$B$255,"&lt;="&amp;$C$5)+SUMIFS('Controle Diário'!$M$6:$M$255,'Controle Diário'!$C$6:$C$255,$B9,'Controle Diário'!$B$6:$B$255,"&gt;="&amp;$C$4,'Controle Diário'!$B$6:$B$255,"&lt;="&amp;$C$5)+SUMIFS('Controle Diário'!$N$6:$N$255,'Controle Diário'!$C$6:$C$255,$B9,'Controle Diário'!$B$6:$B$255,"&gt;="&amp;$C$4,'Controle Diário'!$B$6:$B$255,"&lt;="&amp;$C$5)),"")</f>
        <v/>
      </c>
      <c r="E9" s="45">
        <f>IFERROR(INDEX(Parâmetros!$E$5:$E$10,MATCH($B9,Parâmetros!$B$5:$B$10,0)),"")</f>
        <v>0.5</v>
      </c>
      <c r="F9" s="15" t="str">
        <f>IFERROR(SUMIFS('Controle Diário'!$M$6:$M$255,'Controle Diário'!$C$6:$C$255,$B9,'Controle Diário'!$B$6:$B$255,"&gt;="&amp;$C$4,'Controle Diário'!$B$6:$B$255,"&lt;="&amp;$C$5)/(SUMIFS('Controle Diário'!$L$6:$L$255,'Controle Diário'!$C$6:$C$255,$B9,'Controle Diário'!$B$6:$B$255,"&gt;="&amp;$C$4,'Controle Diário'!$B$6:$B$255,"&lt;="&amp;$C$5)+SUMIFS('Controle Diário'!$M$6:$M$255,'Controle Diário'!$C$6:$C$255,$B9,'Controle Diário'!$B$6:$B$255,"&gt;="&amp;$C$4,'Controle Diário'!$B$6:$B$255,"&lt;="&amp;$C$5)+SUMIFS('Controle Diário'!$N$6:$N$255,'Controle Diário'!$C$6:$C$255,$B9,'Controle Diário'!$B$6:$B$255,"&gt;="&amp;$C$4,'Controle Diário'!$B$6:$B$255,"&lt;="&amp;$C$5)),"")</f>
        <v/>
      </c>
      <c r="G9" s="15" t="str">
        <f>IFERROR(SUMIFS('Controle Diário'!$N$6:$N$255,'Controle Diário'!$C$6:$C$255,$B9,'Controle Diário'!$B$6:$B$255,"&gt;="&amp;$C$4,'Controle Diário'!$B$6:$B$255,"&lt;="&amp;$C$5)/(SUMIFS('Controle Diário'!$L$6:$L$255,'Controle Diário'!$C$6:$C$255,$B9,'Controle Diário'!$B$6:$B$255,"&gt;="&amp;$C$4,'Controle Diário'!$B$6:$B$255,"&lt;="&amp;$C$5)+SUMIFS('Controle Diário'!$M$6:$M$255,'Controle Diário'!$C$6:$C$255,$B9,'Controle Diário'!$B$6:$B$255,"&gt;="&amp;$C$4,'Controle Diário'!$B$6:$B$255,"&lt;="&amp;$C$5)+SUMIFS('Controle Diário'!$N$6:$N$255,'Controle Diário'!$C$6:$C$255,$B9,'Controle Diário'!$B$6:$B$255,"&gt;="&amp;$C$4,'Controle Diário'!$B$6:$B$255,"&lt;="&amp;$C$5)),"")</f>
        <v/>
      </c>
      <c r="H9" s="45">
        <f>IFERROR(INDEX(Parâmetros!$G$5:$G$10,MATCH($B9,Parâmetros!$B$5:$B$10,0)),"")</f>
        <v>0.37</v>
      </c>
      <c r="I9" s="14" t="str">
        <f>IFERROR(SUMIFS('Controle Diário'!$S$6:$S$255,'Controle Diário'!$C$6:$C$255,$B9,'Controle Diário'!$B$6:$B$255,"&gt;="&amp;$C$4,'Controle Diário'!$B$6:$B$255,"&lt;="&amp;$C$5)/SUMIFS('Controle Diário'!$R$6:$R$255,'Controle Diário'!$C$6:$C$255,$B9,'Controle Diário'!$B$6:$B$255,"&gt;="&amp;$C$4,'Controle Diário'!$B$6:$B$255,"&lt;="&amp;$C$5),"")</f>
        <v/>
      </c>
      <c r="J9" s="46">
        <f>IFERROR(INDEX(Parâmetros!$D$5:$D$10,MATCH($B9,Parâmetros!$B$5:$B$10,0)),"")</f>
        <v>5.34</v>
      </c>
      <c r="K9" s="15" t="str">
        <f>IFERROR(SUMIFS('Controle Diário'!$T$6:$T$255,'Controle Diário'!$C$6:$C$255,$B9,'Controle Diário'!$B$6:$B$255,"&gt;="&amp;$C$4,'Controle Diário'!$B$6:$B$255,"&lt;="&amp;$C$5)/SUMIFS('Controle Diário'!$U$6:$U$255,'Controle Diário'!$C$6:$C$255,$B9,'Controle Diário'!$B$6:$B$255,"&gt;="&amp;$C$4,'Controle Diário'!$B$6:$B$255,"&lt;="&amp;$C$5),"")</f>
        <v/>
      </c>
      <c r="L9" s="62">
        <f>SUMIFS('Controle Diário'!$AD$6:$AD$255,'Controle Diário'!$C$6:$C$255,$B9,'Controle Diário'!$B$6:$B$255,"&gt;="&amp;$C$4,'Controle Diário'!$B$6:$B$255,"&lt;="&amp;$C$5)</f>
        <v>0</v>
      </c>
      <c r="M9" s="5" t="str">
        <f t="shared" si="0"/>
        <v>Sem lançamentos no período</v>
      </c>
    </row>
    <row r="10" spans="2:13" x14ac:dyDescent="0.3">
      <c r="B10" s="22" t="s">
        <v>39</v>
      </c>
      <c r="C10" s="61">
        <f>(SUMIFS('Controle Diário'!$L$6:$L$255,'Controle Diário'!$C$6:$C$255,$B10,'Controle Diário'!$B$6:$B$255,"&gt;="&amp;$C$4,'Controle Diário'!$B$6:$B$255,"&lt;="&amp;$C$5)+SUMIFS('Controle Diário'!$M$6:$M$255,'Controle Diário'!$C$6:$C$255,$B10,'Controle Diário'!$B$6:$B$255,"&gt;="&amp;$C$4,'Controle Diário'!$B$6:$B$255,"&lt;="&amp;$C$5)+SUMIFS('Controle Diário'!$N$6:$N$255,'Controle Diário'!$C$6:$C$255,$B10,'Controle Diário'!$B$6:$B$255,"&gt;="&amp;$C$4,'Controle Diário'!$B$6:$B$255,"&lt;="&amp;$C$5))</f>
        <v>0</v>
      </c>
      <c r="D10" s="15" t="str">
        <f>IFERROR(SUMIFS('Controle Diário'!$L$6:$L$255,'Controle Diário'!$C$6:$C$255,$B10,'Controle Diário'!$B$6:$B$255,"&gt;="&amp;$C$4,'Controle Diário'!$B$6:$B$255,"&lt;="&amp;$C$5)/(SUMIFS('Controle Diário'!$L$6:$L$255,'Controle Diário'!$C$6:$C$255,$B10,'Controle Diário'!$B$6:$B$255,"&gt;="&amp;$C$4,'Controle Diário'!$B$6:$B$255,"&lt;="&amp;$C$5)+SUMIFS('Controle Diário'!$M$6:$M$255,'Controle Diário'!$C$6:$C$255,$B10,'Controle Diário'!$B$6:$B$255,"&gt;="&amp;$C$4,'Controle Diário'!$B$6:$B$255,"&lt;="&amp;$C$5)+SUMIFS('Controle Diário'!$N$6:$N$255,'Controle Diário'!$C$6:$C$255,$B10,'Controle Diário'!$B$6:$B$255,"&gt;="&amp;$C$4,'Controle Diário'!$B$6:$B$255,"&lt;="&amp;$C$5)),"")</f>
        <v/>
      </c>
      <c r="E10" s="45">
        <f>IFERROR(INDEX(Parâmetros!$E$5:$E$10,MATCH($B10,Parâmetros!$B$5:$B$10,0)),"")</f>
        <v>0.45</v>
      </c>
      <c r="F10" s="15" t="str">
        <f>IFERROR(SUMIFS('Controle Diário'!$M$6:$M$255,'Controle Diário'!$C$6:$C$255,$B10,'Controle Diário'!$B$6:$B$255,"&gt;="&amp;$C$4,'Controle Diário'!$B$6:$B$255,"&lt;="&amp;$C$5)/(SUMIFS('Controle Diário'!$L$6:$L$255,'Controle Diário'!$C$6:$C$255,$B10,'Controle Diário'!$B$6:$B$255,"&gt;="&amp;$C$4,'Controle Diário'!$B$6:$B$255,"&lt;="&amp;$C$5)+SUMIFS('Controle Diário'!$M$6:$M$255,'Controle Diário'!$C$6:$C$255,$B10,'Controle Diário'!$B$6:$B$255,"&gt;="&amp;$C$4,'Controle Diário'!$B$6:$B$255,"&lt;="&amp;$C$5)+SUMIFS('Controle Diário'!$N$6:$N$255,'Controle Diário'!$C$6:$C$255,$B10,'Controle Diário'!$B$6:$B$255,"&gt;="&amp;$C$4,'Controle Diário'!$B$6:$B$255,"&lt;="&amp;$C$5)),"")</f>
        <v/>
      </c>
      <c r="G10" s="15" t="str">
        <f>IFERROR(SUMIFS('Controle Diário'!$N$6:$N$255,'Controle Diário'!$C$6:$C$255,$B10,'Controle Diário'!$B$6:$B$255,"&gt;="&amp;$C$4,'Controle Diário'!$B$6:$B$255,"&lt;="&amp;$C$5)/(SUMIFS('Controle Diário'!$L$6:$L$255,'Controle Diário'!$C$6:$C$255,$B10,'Controle Diário'!$B$6:$B$255,"&gt;="&amp;$C$4,'Controle Diário'!$B$6:$B$255,"&lt;="&amp;$C$5)+SUMIFS('Controle Diário'!$M$6:$M$255,'Controle Diário'!$C$6:$C$255,$B10,'Controle Diário'!$B$6:$B$255,"&gt;="&amp;$C$4,'Controle Diário'!$B$6:$B$255,"&lt;="&amp;$C$5)+SUMIFS('Controle Diário'!$N$6:$N$255,'Controle Diário'!$C$6:$C$255,$B10,'Controle Diário'!$B$6:$B$255,"&gt;="&amp;$C$4,'Controle Diário'!$B$6:$B$255,"&lt;="&amp;$C$5)),"")</f>
        <v/>
      </c>
      <c r="H10" s="45">
        <f>IFERROR(INDEX(Parâmetros!$G$5:$G$10,MATCH($B10,Parâmetros!$B$5:$B$10,0)),"")</f>
        <v>0.43</v>
      </c>
      <c r="I10" s="14" t="str">
        <f>IFERROR(SUMIFS('Controle Diário'!$S$6:$S$255,'Controle Diário'!$C$6:$C$255,$B10,'Controle Diário'!$B$6:$B$255,"&gt;="&amp;$C$4,'Controle Diário'!$B$6:$B$255,"&lt;="&amp;$C$5)/SUMIFS('Controle Diário'!$R$6:$R$255,'Controle Diário'!$C$6:$C$255,$B10,'Controle Diário'!$B$6:$B$255,"&gt;="&amp;$C$4,'Controle Diário'!$B$6:$B$255,"&lt;="&amp;$C$5),"")</f>
        <v/>
      </c>
      <c r="J10" s="46">
        <f>IFERROR(INDEX(Parâmetros!$D$5:$D$10,MATCH($B10,Parâmetros!$B$5:$B$10,0)),"")</f>
        <v>4.2</v>
      </c>
      <c r="K10" s="15" t="str">
        <f>IFERROR(SUMIFS('Controle Diário'!$T$6:$T$255,'Controle Diário'!$C$6:$C$255,$B10,'Controle Diário'!$B$6:$B$255,"&gt;="&amp;$C$4,'Controle Diário'!$B$6:$B$255,"&lt;="&amp;$C$5)/SUMIFS('Controle Diário'!$U$6:$U$255,'Controle Diário'!$C$6:$C$255,$B10,'Controle Diário'!$B$6:$B$255,"&gt;="&amp;$C$4,'Controle Diário'!$B$6:$B$255,"&lt;="&amp;$C$5),"")</f>
        <v/>
      </c>
      <c r="L10" s="62">
        <f>SUMIFS('Controle Diário'!$AD$6:$AD$255,'Controle Diário'!$C$6:$C$255,$B10,'Controle Diário'!$B$6:$B$255,"&gt;="&amp;$C$4,'Controle Diário'!$B$6:$B$255,"&lt;="&amp;$C$5)</f>
        <v>0</v>
      </c>
      <c r="M10" s="5" t="str">
        <f t="shared" si="0"/>
        <v>Sem lançamentos no período</v>
      </c>
    </row>
    <row r="11" spans="2:13" x14ac:dyDescent="0.3">
      <c r="B11" s="22" t="s">
        <v>40</v>
      </c>
      <c r="C11" s="61">
        <f>(SUMIFS('Controle Diário'!$L$6:$L$255,'Controle Diário'!$C$6:$C$255,$B11,'Controle Diário'!$B$6:$B$255,"&gt;="&amp;$C$4,'Controle Diário'!$B$6:$B$255,"&lt;="&amp;$C$5)+SUMIFS('Controle Diário'!$M$6:$M$255,'Controle Diário'!$C$6:$C$255,$B11,'Controle Diário'!$B$6:$B$255,"&gt;="&amp;$C$4,'Controle Diário'!$B$6:$B$255,"&lt;="&amp;$C$5)+SUMIFS('Controle Diário'!$N$6:$N$255,'Controle Diário'!$C$6:$C$255,$B11,'Controle Diário'!$B$6:$B$255,"&gt;="&amp;$C$4,'Controle Diário'!$B$6:$B$255,"&lt;="&amp;$C$5))</f>
        <v>0</v>
      </c>
      <c r="D11" s="15" t="str">
        <f>IFERROR(SUMIFS('Controle Diário'!$L$6:$L$255,'Controle Diário'!$C$6:$C$255,$B11,'Controle Diário'!$B$6:$B$255,"&gt;="&amp;$C$4,'Controle Diário'!$B$6:$B$255,"&lt;="&amp;$C$5)/(SUMIFS('Controle Diário'!$L$6:$L$255,'Controle Diário'!$C$6:$C$255,$B11,'Controle Diário'!$B$6:$B$255,"&gt;="&amp;$C$4,'Controle Diário'!$B$6:$B$255,"&lt;="&amp;$C$5)+SUMIFS('Controle Diário'!$M$6:$M$255,'Controle Diário'!$C$6:$C$255,$B11,'Controle Diário'!$B$6:$B$255,"&gt;="&amp;$C$4,'Controle Diário'!$B$6:$B$255,"&lt;="&amp;$C$5)+SUMIFS('Controle Diário'!$N$6:$N$255,'Controle Diário'!$C$6:$C$255,$B11,'Controle Diário'!$B$6:$B$255,"&gt;="&amp;$C$4,'Controle Diário'!$B$6:$B$255,"&lt;="&amp;$C$5)),"")</f>
        <v/>
      </c>
      <c r="E11" s="45">
        <f>IFERROR(INDEX(Parâmetros!$E$5:$E$10,MATCH($B11,Parâmetros!$B$5:$B$10,0)),"")</f>
        <v>0.35</v>
      </c>
      <c r="F11" s="15" t="str">
        <f>IFERROR(SUMIFS('Controle Diário'!$M$6:$M$255,'Controle Diário'!$C$6:$C$255,$B11,'Controle Diário'!$B$6:$B$255,"&gt;="&amp;$C$4,'Controle Diário'!$B$6:$B$255,"&lt;="&amp;$C$5)/(SUMIFS('Controle Diário'!$L$6:$L$255,'Controle Diário'!$C$6:$C$255,$B11,'Controle Diário'!$B$6:$B$255,"&gt;="&amp;$C$4,'Controle Diário'!$B$6:$B$255,"&lt;="&amp;$C$5)+SUMIFS('Controle Diário'!$M$6:$M$255,'Controle Diário'!$C$6:$C$255,$B11,'Controle Diário'!$B$6:$B$255,"&gt;="&amp;$C$4,'Controle Diário'!$B$6:$B$255,"&lt;="&amp;$C$5)+SUMIFS('Controle Diário'!$N$6:$N$255,'Controle Diário'!$C$6:$C$255,$B11,'Controle Diário'!$B$6:$B$255,"&gt;="&amp;$C$4,'Controle Diário'!$B$6:$B$255,"&lt;="&amp;$C$5)),"")</f>
        <v/>
      </c>
      <c r="G11" s="15" t="str">
        <f>IFERROR(SUMIFS('Controle Diário'!$N$6:$N$255,'Controle Diário'!$C$6:$C$255,$B11,'Controle Diário'!$B$6:$B$255,"&gt;="&amp;$C$4,'Controle Diário'!$B$6:$B$255,"&lt;="&amp;$C$5)/(SUMIFS('Controle Diário'!$L$6:$L$255,'Controle Diário'!$C$6:$C$255,$B11,'Controle Diário'!$B$6:$B$255,"&gt;="&amp;$C$4,'Controle Diário'!$B$6:$B$255,"&lt;="&amp;$C$5)+SUMIFS('Controle Diário'!$M$6:$M$255,'Controle Diário'!$C$6:$C$255,$B11,'Controle Diário'!$B$6:$B$255,"&gt;="&amp;$C$4,'Controle Diário'!$B$6:$B$255,"&lt;="&amp;$C$5)+SUMIFS('Controle Diário'!$N$6:$N$255,'Controle Diário'!$C$6:$C$255,$B11,'Controle Diário'!$B$6:$B$255,"&gt;="&amp;$C$4,'Controle Diário'!$B$6:$B$255,"&lt;="&amp;$C$5)),"")</f>
        <v/>
      </c>
      <c r="H11" s="45">
        <f>IFERROR(INDEX(Parâmetros!$G$5:$G$10,MATCH($B11,Parâmetros!$B$5:$B$10,0)),"")</f>
        <v>0.38</v>
      </c>
      <c r="I11" s="14" t="str">
        <f>IFERROR(SUMIFS('Controle Diário'!$S$6:$S$255,'Controle Diário'!$C$6:$C$255,$B11,'Controle Diário'!$B$6:$B$255,"&gt;="&amp;$C$4,'Controle Diário'!$B$6:$B$255,"&lt;="&amp;$C$5)/SUMIFS('Controle Diário'!$R$6:$R$255,'Controle Diário'!$C$6:$C$255,$B11,'Controle Diário'!$B$6:$B$255,"&gt;="&amp;$C$4,'Controle Diário'!$B$6:$B$255,"&lt;="&amp;$C$5),"")</f>
        <v/>
      </c>
      <c r="J11" s="46">
        <f>IFERROR(INDEX(Parâmetros!$D$5:$D$10,MATCH($B11,Parâmetros!$B$5:$B$10,0)),"")</f>
        <v>4.3</v>
      </c>
      <c r="K11" s="15" t="str">
        <f>IFERROR(SUMIFS('Controle Diário'!$T$6:$T$255,'Controle Diário'!$C$6:$C$255,$B11,'Controle Diário'!$B$6:$B$255,"&gt;="&amp;$C$4,'Controle Diário'!$B$6:$B$255,"&lt;="&amp;$C$5)/SUMIFS('Controle Diário'!$U$6:$U$255,'Controle Diário'!$C$6:$C$255,$B11,'Controle Diário'!$B$6:$B$255,"&gt;="&amp;$C$4,'Controle Diário'!$B$6:$B$255,"&lt;="&amp;$C$5),"")</f>
        <v/>
      </c>
      <c r="L11" s="62">
        <f>SUMIFS('Controle Diário'!$AD$6:$AD$255,'Controle Diário'!$C$6:$C$255,$B11,'Controle Diário'!$B$6:$B$255,"&gt;="&amp;$C$4,'Controle Diário'!$B$6:$B$255,"&lt;="&amp;$C$5)</f>
        <v>0</v>
      </c>
      <c r="M11" s="5" t="str">
        <f t="shared" si="0"/>
        <v>Sem lançamentos no período</v>
      </c>
    </row>
    <row r="12" spans="2:13" x14ac:dyDescent="0.3">
      <c r="B12" s="22" t="s">
        <v>41</v>
      </c>
      <c r="C12" s="61">
        <f>(SUMIFS('Controle Diário'!$L$6:$L$255,'Controle Diário'!$C$6:$C$255,$B12,'Controle Diário'!$B$6:$B$255,"&gt;="&amp;$C$4,'Controle Diário'!$B$6:$B$255,"&lt;="&amp;$C$5)+SUMIFS('Controle Diário'!$M$6:$M$255,'Controle Diário'!$C$6:$C$255,$B12,'Controle Diário'!$B$6:$B$255,"&gt;="&amp;$C$4,'Controle Diário'!$B$6:$B$255,"&lt;="&amp;$C$5)+SUMIFS('Controle Diário'!$N$6:$N$255,'Controle Diário'!$C$6:$C$255,$B12,'Controle Diário'!$B$6:$B$255,"&gt;="&amp;$C$4,'Controle Diário'!$B$6:$B$255,"&lt;="&amp;$C$5))</f>
        <v>0</v>
      </c>
      <c r="D12" s="15" t="str">
        <f>IFERROR(SUMIFS('Controle Diário'!$L$6:$L$255,'Controle Diário'!$C$6:$C$255,$B12,'Controle Diário'!$B$6:$B$255,"&gt;="&amp;$C$4,'Controle Diário'!$B$6:$B$255,"&lt;="&amp;$C$5)/(SUMIFS('Controle Diário'!$L$6:$L$255,'Controle Diário'!$C$6:$C$255,$B12,'Controle Diário'!$B$6:$B$255,"&gt;="&amp;$C$4,'Controle Diário'!$B$6:$B$255,"&lt;="&amp;$C$5)+SUMIFS('Controle Diário'!$M$6:$M$255,'Controle Diário'!$C$6:$C$255,$B12,'Controle Diário'!$B$6:$B$255,"&gt;="&amp;$C$4,'Controle Diário'!$B$6:$B$255,"&lt;="&amp;$C$5)+SUMIFS('Controle Diário'!$N$6:$N$255,'Controle Diário'!$C$6:$C$255,$B12,'Controle Diário'!$B$6:$B$255,"&gt;="&amp;$C$4,'Controle Diário'!$B$6:$B$255,"&lt;="&amp;$C$5)),"")</f>
        <v/>
      </c>
      <c r="E12" s="45">
        <f>IFERROR(INDEX(Parâmetros!$E$5:$E$10,MATCH($B12,Parâmetros!$B$5:$B$10,0)),"")</f>
        <v>0.41</v>
      </c>
      <c r="F12" s="15" t="str">
        <f>IFERROR(SUMIFS('Controle Diário'!$M$6:$M$255,'Controle Diário'!$C$6:$C$255,$B12,'Controle Diário'!$B$6:$B$255,"&gt;="&amp;$C$4,'Controle Diário'!$B$6:$B$255,"&lt;="&amp;$C$5)/(SUMIFS('Controle Diário'!$L$6:$L$255,'Controle Diário'!$C$6:$C$255,$B12,'Controle Diário'!$B$6:$B$255,"&gt;="&amp;$C$4,'Controle Diário'!$B$6:$B$255,"&lt;="&amp;$C$5)+SUMIFS('Controle Diário'!$M$6:$M$255,'Controle Diário'!$C$6:$C$255,$B12,'Controle Diário'!$B$6:$B$255,"&gt;="&amp;$C$4,'Controle Diário'!$B$6:$B$255,"&lt;="&amp;$C$5)+SUMIFS('Controle Diário'!$N$6:$N$255,'Controle Diário'!$C$6:$C$255,$B12,'Controle Diário'!$B$6:$B$255,"&gt;="&amp;$C$4,'Controle Diário'!$B$6:$B$255,"&lt;="&amp;$C$5)),"")</f>
        <v/>
      </c>
      <c r="G12" s="15" t="str">
        <f>IFERROR(SUMIFS('Controle Diário'!$N$6:$N$255,'Controle Diário'!$C$6:$C$255,$B12,'Controle Diário'!$B$6:$B$255,"&gt;="&amp;$C$4,'Controle Diário'!$B$6:$B$255,"&lt;="&amp;$C$5)/(SUMIFS('Controle Diário'!$L$6:$L$255,'Controle Diário'!$C$6:$C$255,$B12,'Controle Diário'!$B$6:$B$255,"&gt;="&amp;$C$4,'Controle Diário'!$B$6:$B$255,"&lt;="&amp;$C$5)+SUMIFS('Controle Diário'!$M$6:$M$255,'Controle Diário'!$C$6:$C$255,$B12,'Controle Diário'!$B$6:$B$255,"&gt;="&amp;$C$4,'Controle Diário'!$B$6:$B$255,"&lt;="&amp;$C$5)+SUMIFS('Controle Diário'!$N$6:$N$255,'Controle Diário'!$C$6:$C$255,$B12,'Controle Diário'!$B$6:$B$255,"&gt;="&amp;$C$4,'Controle Diário'!$B$6:$B$255,"&lt;="&amp;$C$5)),"")</f>
        <v/>
      </c>
      <c r="H12" s="45">
        <f>IFERROR(INDEX(Parâmetros!$G$5:$G$10,MATCH($B12,Parâmetros!$B$5:$B$10,0)),"")</f>
        <v>0.32</v>
      </c>
      <c r="I12" s="14" t="str">
        <f>IFERROR(SUMIFS('Controle Diário'!$S$6:$S$255,'Controle Diário'!$C$6:$C$255,$B12,'Controle Diário'!$B$6:$B$255,"&gt;="&amp;$C$4,'Controle Diário'!$B$6:$B$255,"&lt;="&amp;$C$5)/SUMIFS('Controle Diário'!$R$6:$R$255,'Controle Diário'!$C$6:$C$255,$B12,'Controle Diário'!$B$6:$B$255,"&gt;="&amp;$C$4,'Controle Diário'!$B$6:$B$255,"&lt;="&amp;$C$5),"")</f>
        <v/>
      </c>
      <c r="J12" s="46">
        <f>IFERROR(INDEX(Parâmetros!$D$5:$D$10,MATCH($B12,Parâmetros!$B$5:$B$10,0)),"")</f>
        <v>5.32</v>
      </c>
      <c r="K12" s="15" t="str">
        <f>IFERROR(SUMIFS('Controle Diário'!$T$6:$T$255,'Controle Diário'!$C$6:$C$255,$B12,'Controle Diário'!$B$6:$B$255,"&gt;="&amp;$C$4,'Controle Diário'!$B$6:$B$255,"&lt;="&amp;$C$5)/SUMIFS('Controle Diário'!$U$6:$U$255,'Controle Diário'!$C$6:$C$255,$B12,'Controle Diário'!$B$6:$B$255,"&gt;="&amp;$C$4,'Controle Diário'!$B$6:$B$255,"&lt;="&amp;$C$5),"")</f>
        <v/>
      </c>
      <c r="L12" s="62">
        <f>SUMIFS('Controle Diário'!$AD$6:$AD$255,'Controle Diário'!$C$6:$C$255,$B12,'Controle Diário'!$B$6:$B$255,"&gt;="&amp;$C$4,'Controle Diário'!$B$6:$B$255,"&lt;="&amp;$C$5)</f>
        <v>0</v>
      </c>
      <c r="M12" s="5" t="str">
        <f t="shared" si="0"/>
        <v>Sem lançamentos no período</v>
      </c>
    </row>
    <row r="13" spans="2:13" x14ac:dyDescent="0.3">
      <c r="B13" s="22" t="s">
        <v>42</v>
      </c>
      <c r="C13" s="61">
        <f>(SUMIFS('Controle Diário'!$L$6:$L$255,'Controle Diário'!$C$6:$C$255,$B13,'Controle Diário'!$B$6:$B$255,"&gt;="&amp;$C$4,'Controle Diário'!$B$6:$B$255,"&lt;="&amp;$C$5)+SUMIFS('Controle Diário'!$M$6:$M$255,'Controle Diário'!$C$6:$C$255,$B13,'Controle Diário'!$B$6:$B$255,"&gt;="&amp;$C$4,'Controle Diário'!$B$6:$B$255,"&lt;="&amp;$C$5)+SUMIFS('Controle Diário'!$N$6:$N$255,'Controle Diário'!$C$6:$C$255,$B13,'Controle Diário'!$B$6:$B$255,"&gt;="&amp;$C$4,'Controle Diário'!$B$6:$B$255,"&lt;="&amp;$C$5))</f>
        <v>0</v>
      </c>
      <c r="D13" s="15" t="str">
        <f>IFERROR(SUMIFS('Controle Diário'!$L$6:$L$255,'Controle Diário'!$C$6:$C$255,$B13,'Controle Diário'!$B$6:$B$255,"&gt;="&amp;$C$4,'Controle Diário'!$B$6:$B$255,"&lt;="&amp;$C$5)/(SUMIFS('Controle Diário'!$L$6:$L$255,'Controle Diário'!$C$6:$C$255,$B13,'Controle Diário'!$B$6:$B$255,"&gt;="&amp;$C$4,'Controle Diário'!$B$6:$B$255,"&lt;="&amp;$C$5)+SUMIFS('Controle Diário'!$M$6:$M$255,'Controle Diário'!$C$6:$C$255,$B13,'Controle Diário'!$B$6:$B$255,"&gt;="&amp;$C$4,'Controle Diário'!$B$6:$B$255,"&lt;="&amp;$C$5)+SUMIFS('Controle Diário'!$N$6:$N$255,'Controle Diário'!$C$6:$C$255,$B13,'Controle Diário'!$B$6:$B$255,"&gt;="&amp;$C$4,'Controle Diário'!$B$6:$B$255,"&lt;="&amp;$C$5)),"")</f>
        <v/>
      </c>
      <c r="E13" s="45">
        <f>IFERROR(INDEX(Parâmetros!$E$5:$E$10,MATCH($B13,Parâmetros!$B$5:$B$10,0)),"")</f>
        <v>0.28000000000000003</v>
      </c>
      <c r="F13" s="15" t="str">
        <f>IFERROR(SUMIFS('Controle Diário'!$M$6:$M$255,'Controle Diário'!$C$6:$C$255,$B13,'Controle Diário'!$B$6:$B$255,"&gt;="&amp;$C$4,'Controle Diário'!$B$6:$B$255,"&lt;="&amp;$C$5)/(SUMIFS('Controle Diário'!$L$6:$L$255,'Controle Diário'!$C$6:$C$255,$B13,'Controle Diário'!$B$6:$B$255,"&gt;="&amp;$C$4,'Controle Diário'!$B$6:$B$255,"&lt;="&amp;$C$5)+SUMIFS('Controle Diário'!$M$6:$M$255,'Controle Diário'!$C$6:$C$255,$B13,'Controle Diário'!$B$6:$B$255,"&gt;="&amp;$C$4,'Controle Diário'!$B$6:$B$255,"&lt;="&amp;$C$5)+SUMIFS('Controle Diário'!$N$6:$N$255,'Controle Diário'!$C$6:$C$255,$B13,'Controle Diário'!$B$6:$B$255,"&gt;="&amp;$C$4,'Controle Diário'!$B$6:$B$255,"&lt;="&amp;$C$5)),"")</f>
        <v/>
      </c>
      <c r="G13" s="15" t="str">
        <f>IFERROR(SUMIFS('Controle Diário'!$N$6:$N$255,'Controle Diário'!$C$6:$C$255,$B13,'Controle Diário'!$B$6:$B$255,"&gt;="&amp;$C$4,'Controle Diário'!$B$6:$B$255,"&lt;="&amp;$C$5)/(SUMIFS('Controle Diário'!$L$6:$L$255,'Controle Diário'!$C$6:$C$255,$B13,'Controle Diário'!$B$6:$B$255,"&gt;="&amp;$C$4,'Controle Diário'!$B$6:$B$255,"&lt;="&amp;$C$5)+SUMIFS('Controle Diário'!$M$6:$M$255,'Controle Diário'!$C$6:$C$255,$B13,'Controle Diário'!$B$6:$B$255,"&gt;="&amp;$C$4,'Controle Diário'!$B$6:$B$255,"&lt;="&amp;$C$5)+SUMIFS('Controle Diário'!$N$6:$N$255,'Controle Diário'!$C$6:$C$255,$B13,'Controle Diário'!$B$6:$B$255,"&gt;="&amp;$C$4,'Controle Diário'!$B$6:$B$255,"&lt;="&amp;$C$5)),"")</f>
        <v/>
      </c>
      <c r="H13" s="45">
        <f>IFERROR(INDEX(Parâmetros!$G$5:$G$10,MATCH($B13,Parâmetros!$B$5:$B$10,0)),"")</f>
        <v>0.45</v>
      </c>
      <c r="I13" s="14" t="str">
        <f>IFERROR(SUMIFS('Controle Diário'!$S$6:$S$255,'Controle Diário'!$C$6:$C$255,$B13,'Controle Diário'!$B$6:$B$255,"&gt;="&amp;$C$4,'Controle Diário'!$B$6:$B$255,"&lt;="&amp;$C$5)/SUMIFS('Controle Diário'!$R$6:$R$255,'Controle Diário'!$C$6:$C$255,$B13,'Controle Diário'!$B$6:$B$255,"&gt;="&amp;$C$4,'Controle Diário'!$B$6:$B$255,"&lt;="&amp;$C$5),"")</f>
        <v/>
      </c>
      <c r="J13" s="46">
        <f>IFERROR(INDEX(Parâmetros!$D$5:$D$10,MATCH($B13,Parâmetros!$B$5:$B$10,0)),"")</f>
        <v>4.12</v>
      </c>
      <c r="K13" s="15" t="str">
        <f>IFERROR(SUMIFS('Controle Diário'!$T$6:$T$255,'Controle Diário'!$C$6:$C$255,$B13,'Controle Diário'!$B$6:$B$255,"&gt;="&amp;$C$4,'Controle Diário'!$B$6:$B$255,"&lt;="&amp;$C$5)/SUMIFS('Controle Diário'!$U$6:$U$255,'Controle Diário'!$C$6:$C$255,$B13,'Controle Diário'!$B$6:$B$255,"&gt;="&amp;$C$4,'Controle Diário'!$B$6:$B$255,"&lt;="&amp;$C$5),"")</f>
        <v/>
      </c>
      <c r="L13" s="62">
        <f>SUMIFS('Controle Diário'!$AD$6:$AD$255,'Controle Diário'!$C$6:$C$255,$B13,'Controle Diário'!$B$6:$B$255,"&gt;="&amp;$C$4,'Controle Diário'!$B$6:$B$255,"&lt;="&amp;$C$5)</f>
        <v>0</v>
      </c>
      <c r="M13" s="5" t="str">
        <f t="shared" si="0"/>
        <v>Sem lançamentos no período</v>
      </c>
    </row>
    <row r="15" spans="2:13" ht="26.4" x14ac:dyDescent="0.3">
      <c r="B15" s="63" t="s">
        <v>167</v>
      </c>
      <c r="C15" s="64">
        <f>SUM(C8:C13)</f>
        <v>42</v>
      </c>
      <c r="L15" s="65">
        <f>SUM(L8:L13)</f>
        <v>3150</v>
      </c>
      <c r="M15" s="66" t="s">
        <v>168</v>
      </c>
    </row>
    <row r="17" spans="2:4" x14ac:dyDescent="0.3">
      <c r="B17" s="6" t="s">
        <v>169</v>
      </c>
    </row>
    <row r="18" spans="2:4" x14ac:dyDescent="0.3">
      <c r="B18" s="26" t="s">
        <v>170</v>
      </c>
      <c r="C18" s="26" t="s">
        <v>171</v>
      </c>
      <c r="D18" s="26" t="s">
        <v>88</v>
      </c>
    </row>
    <row r="19" spans="2:4" x14ac:dyDescent="0.3">
      <c r="B19" s="5" t="str">
        <f>Parâmetros!K5</f>
        <v>1. Pico de demanda não previsto</v>
      </c>
      <c r="C19" s="67">
        <f>SUMIFS('Controle Diário'!$N$6:$N$255,'Controle Diário'!$O$6:$O$255,$B19,'Controle Diário'!$B$6:$B$255,"&gt;="&amp;$C$4,'Controle Diário'!$B$6:$B$255,"&lt;="&amp;$C$5)</f>
        <v>18</v>
      </c>
      <c r="D19" s="22" t="str">
        <f>Parâmetros!L5</f>
        <v>Evitável</v>
      </c>
    </row>
    <row r="20" spans="2:4" x14ac:dyDescent="0.3">
      <c r="B20" s="5" t="str">
        <f>Parâmetros!K6</f>
        <v>2. Veículo em manutenção corretiva</v>
      </c>
      <c r="C20" s="67">
        <f>SUMIFS('Controle Diário'!$N$6:$N$255,'Controle Diário'!$O$6:$O$255,$B20,'Controle Diário'!$B$6:$B$255,"&gt;="&amp;$C$4,'Controle Diário'!$B$6:$B$255,"&lt;="&amp;$C$5)</f>
        <v>0</v>
      </c>
      <c r="D20" s="22" t="str">
        <f>Parâmetros!L6</f>
        <v>Evitável</v>
      </c>
    </row>
    <row r="21" spans="2:4" x14ac:dyDescent="0.3">
      <c r="B21" s="5" t="str">
        <f>Parâmetros!K7</f>
        <v>3. Falta de motorista / escala</v>
      </c>
      <c r="C21" s="67">
        <f>SUMIFS('Controle Diário'!$N$6:$N$255,'Controle Diário'!$O$6:$O$255,$B21,'Controle Diário'!$B$6:$B$255,"&gt;="&amp;$C$4,'Controle Diário'!$B$6:$B$255,"&lt;="&amp;$C$5)</f>
        <v>0</v>
      </c>
      <c r="D21" s="22" t="str">
        <f>Parâmetros!L7</f>
        <v>Evitável</v>
      </c>
    </row>
    <row r="22" spans="2:4" ht="26.4" x14ac:dyDescent="0.3">
      <c r="B22" s="5" t="str">
        <f>Parâmetros!K8</f>
        <v>4. Carga liberada fora da janela de roteirização</v>
      </c>
      <c r="C22" s="67">
        <f>SUMIFS('Controle Diário'!$N$6:$N$255,'Controle Diário'!$O$6:$O$255,$B22,'Controle Diário'!$B$6:$B$255,"&gt;="&amp;$C$4,'Controle Diário'!$B$6:$B$255,"&lt;="&amp;$C$5)</f>
        <v>0</v>
      </c>
      <c r="D22" s="22" t="str">
        <f>Parâmetros!L8</f>
        <v>Evitável</v>
      </c>
    </row>
    <row r="23" spans="2:4" x14ac:dyDescent="0.3">
      <c r="B23" s="5" t="str">
        <f>Parâmetros!K9</f>
        <v>5. Baixa ocupação — carga fracionada</v>
      </c>
      <c r="C23" s="67">
        <f>SUMIFS('Controle Diário'!$N$6:$N$255,'Controle Diário'!$O$6:$O$255,$B23,'Controle Diário'!$B$6:$B$255,"&gt;="&amp;$C$4,'Controle Diário'!$B$6:$B$255,"&lt;="&amp;$C$5)</f>
        <v>0</v>
      </c>
      <c r="D23" s="22" t="str">
        <f>Parâmetros!L9</f>
        <v>Parcial</v>
      </c>
    </row>
    <row r="24" spans="2:4" x14ac:dyDescent="0.3">
      <c r="B24" s="5" t="str">
        <f>Parâmetros!K10</f>
        <v>6. Sazonalidade / pico programado</v>
      </c>
      <c r="C24" s="67">
        <f>SUMIFS('Controle Diário'!$N$6:$N$255,'Controle Diário'!$O$6:$O$255,$B24,'Controle Diário'!$B$6:$B$255,"&gt;="&amp;$C$4,'Controle Diário'!$B$6:$B$255,"&lt;="&amp;$C$5)</f>
        <v>0</v>
      </c>
      <c r="D24" s="22" t="str">
        <f>Parâmetros!L10</f>
        <v>Parcial</v>
      </c>
    </row>
    <row r="25" spans="2:4" x14ac:dyDescent="0.3">
      <c r="B25" s="5" t="str">
        <f>Parâmetros!K11</f>
        <v>7. Janela de entrega do cliente incompatível</v>
      </c>
      <c r="C25" s="67">
        <f>SUMIFS('Controle Diário'!$N$6:$N$255,'Controle Diário'!$O$6:$O$255,$B25,'Controle Diário'!$B$6:$B$255,"&gt;="&amp;$C$4,'Controle Diário'!$B$6:$B$255,"&lt;="&amp;$C$5)</f>
        <v>0</v>
      </c>
      <c r="D25" s="22" t="str">
        <f>Parâmetros!L11</f>
        <v>Parcial</v>
      </c>
    </row>
    <row r="26" spans="2:4" x14ac:dyDescent="0.3">
      <c r="B26" s="5" t="str">
        <f>Parâmetros!K12</f>
        <v>8. Rota fora da malha da frota</v>
      </c>
      <c r="C26" s="67">
        <f>SUMIFS('Controle Diário'!$N$6:$N$255,'Controle Diário'!$O$6:$O$255,$B26,'Controle Diário'!$B$6:$B$255,"&gt;="&amp;$C$4,'Controle Diário'!$B$6:$B$255,"&lt;="&amp;$C$5)</f>
        <v>0</v>
      </c>
      <c r="D26" s="22" t="str">
        <f>Parâmetros!L12</f>
        <v>Não evitável</v>
      </c>
    </row>
    <row r="27" spans="2:4" x14ac:dyDescent="0.3">
      <c r="B27" s="5" t="str">
        <f>Parâmetros!K13</f>
        <v>9. Avaria / sinistro</v>
      </c>
      <c r="C27" s="67">
        <f>SUMIFS('Controle Diário'!$N$6:$N$255,'Controle Diário'!$O$6:$O$255,$B27,'Controle Diário'!$B$6:$B$255,"&gt;="&amp;$C$4,'Controle Diário'!$B$6:$B$255,"&lt;="&amp;$C$5)</f>
        <v>0</v>
      </c>
      <c r="D27" s="22" t="str">
        <f>Parâmetros!L13</f>
        <v>Não evitável</v>
      </c>
    </row>
    <row r="28" spans="2:4" x14ac:dyDescent="0.3">
      <c r="B28" s="5" t="str">
        <f>Parâmetros!K14</f>
        <v>10. Restrição legal / licença / cliente exclusivo</v>
      </c>
      <c r="C28" s="67">
        <f>SUMIFS('Controle Diário'!$N$6:$N$255,'Controle Diário'!$O$6:$O$255,$B28,'Controle Diário'!$B$6:$B$255,"&gt;="&amp;$C$4,'Controle Diário'!$B$6:$B$255,"&lt;="&amp;$C$5)</f>
        <v>0</v>
      </c>
      <c r="D28" s="22" t="str">
        <f>Parâmetros!L14</f>
        <v>Não evitável</v>
      </c>
    </row>
  </sheetData>
  <conditionalFormatting sqref="M8:M13">
    <cfRule type="expression" dxfId="2" priority="2">
      <formula>ISNUMBER(SEARCH("CRITICO",$M8))</formula>
    </cfRule>
    <cfRule type="expression" dxfId="1" priority="3">
      <formula>ISNUMBER(SEARCH("ATENCAO",$M8))</formula>
    </cfRule>
    <cfRule type="expression" dxfId="0" priority="4">
      <formula>ISNUMBER(SEARCH("OK",$M8))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14"/>
  <sheetViews>
    <sheetView showGridLines="0" zoomScaleNormal="100" workbookViewId="0"/>
  </sheetViews>
  <sheetFormatPr defaultColWidth="8.6640625" defaultRowHeight="14.4" x14ac:dyDescent="0.3"/>
  <cols>
    <col min="2" max="2" width="5" customWidth="1"/>
    <col min="3" max="3" width="30" customWidth="1"/>
    <col min="4" max="4" width="60" customWidth="1"/>
    <col min="5" max="5" width="20" customWidth="1"/>
    <col min="6" max="7" width="14" customWidth="1"/>
    <col min="8" max="8" width="30" customWidth="1"/>
    <col min="9" max="9" width="14" customWidth="1"/>
  </cols>
  <sheetData>
    <row r="2" spans="2:9" ht="17.399999999999999" x14ac:dyDescent="0.3">
      <c r="B2" s="1" t="s">
        <v>172</v>
      </c>
    </row>
    <row r="4" spans="2:9" ht="30" customHeight="1" x14ac:dyDescent="0.3">
      <c r="B4" s="21" t="s">
        <v>51</v>
      </c>
      <c r="C4" s="21" t="s">
        <v>173</v>
      </c>
      <c r="D4" s="21" t="s">
        <v>174</v>
      </c>
      <c r="E4" s="21" t="s">
        <v>175</v>
      </c>
      <c r="F4" s="21" t="s">
        <v>176</v>
      </c>
      <c r="G4" s="21" t="s">
        <v>177</v>
      </c>
      <c r="H4" s="21" t="s">
        <v>178</v>
      </c>
      <c r="I4" s="21" t="s">
        <v>179</v>
      </c>
    </row>
    <row r="5" spans="2:9" ht="73.5" customHeight="1" x14ac:dyDescent="0.3">
      <c r="B5" s="68">
        <v>1</v>
      </c>
      <c r="C5" s="4" t="s">
        <v>180</v>
      </c>
      <c r="D5" s="5" t="s">
        <v>181</v>
      </c>
      <c r="E5" s="5" t="s">
        <v>182</v>
      </c>
      <c r="F5" s="68" t="s">
        <v>183</v>
      </c>
      <c r="G5" s="69" t="s">
        <v>184</v>
      </c>
      <c r="H5" s="5" t="s">
        <v>185</v>
      </c>
      <c r="I5" s="49" t="s">
        <v>186</v>
      </c>
    </row>
    <row r="6" spans="2:9" ht="73.5" customHeight="1" x14ac:dyDescent="0.3">
      <c r="B6" s="68">
        <v>2</v>
      </c>
      <c r="C6" s="4" t="s">
        <v>187</v>
      </c>
      <c r="D6" s="5" t="s">
        <v>188</v>
      </c>
      <c r="E6" s="5" t="s">
        <v>189</v>
      </c>
      <c r="F6" s="68" t="s">
        <v>190</v>
      </c>
      <c r="G6" s="69" t="s">
        <v>184</v>
      </c>
      <c r="H6" s="5" t="s">
        <v>191</v>
      </c>
      <c r="I6" s="49" t="s">
        <v>186</v>
      </c>
    </row>
    <row r="7" spans="2:9" ht="73.5" customHeight="1" x14ac:dyDescent="0.3">
      <c r="B7" s="68">
        <v>3</v>
      </c>
      <c r="C7" s="4" t="s">
        <v>192</v>
      </c>
      <c r="D7" s="5" t="s">
        <v>193</v>
      </c>
      <c r="E7" s="5" t="s">
        <v>194</v>
      </c>
      <c r="F7" s="68" t="s">
        <v>183</v>
      </c>
      <c r="G7" s="69" t="s">
        <v>184</v>
      </c>
      <c r="H7" s="5" t="s">
        <v>195</v>
      </c>
      <c r="I7" s="49" t="s">
        <v>186</v>
      </c>
    </row>
    <row r="8" spans="2:9" ht="73.5" customHeight="1" x14ac:dyDescent="0.3">
      <c r="B8" s="68">
        <v>4</v>
      </c>
      <c r="C8" s="4" t="s">
        <v>196</v>
      </c>
      <c r="D8" s="5" t="s">
        <v>197</v>
      </c>
      <c r="E8" s="5" t="s">
        <v>198</v>
      </c>
      <c r="F8" s="68" t="s">
        <v>199</v>
      </c>
      <c r="G8" s="70" t="s">
        <v>200</v>
      </c>
      <c r="H8" s="5" t="s">
        <v>201</v>
      </c>
      <c r="I8" s="49" t="s">
        <v>186</v>
      </c>
    </row>
    <row r="9" spans="2:9" ht="73.5" customHeight="1" x14ac:dyDescent="0.3">
      <c r="B9" s="68">
        <v>5</v>
      </c>
      <c r="C9" s="4" t="s">
        <v>202</v>
      </c>
      <c r="D9" s="5" t="s">
        <v>203</v>
      </c>
      <c r="E9" s="5" t="s">
        <v>204</v>
      </c>
      <c r="F9" s="68" t="s">
        <v>183</v>
      </c>
      <c r="G9" s="69" t="s">
        <v>184</v>
      </c>
      <c r="H9" s="5" t="s">
        <v>205</v>
      </c>
      <c r="I9" s="49" t="s">
        <v>186</v>
      </c>
    </row>
    <row r="10" spans="2:9" ht="73.5" customHeight="1" x14ac:dyDescent="0.3">
      <c r="B10" s="68">
        <v>6</v>
      </c>
      <c r="C10" s="4" t="s">
        <v>206</v>
      </c>
      <c r="D10" s="5" t="s">
        <v>207</v>
      </c>
      <c r="E10" s="5" t="s">
        <v>208</v>
      </c>
      <c r="F10" s="68" t="s">
        <v>209</v>
      </c>
      <c r="G10" s="69" t="s">
        <v>184</v>
      </c>
      <c r="H10" s="5" t="s">
        <v>210</v>
      </c>
      <c r="I10" s="49" t="s">
        <v>186</v>
      </c>
    </row>
    <row r="11" spans="2:9" ht="73.5" customHeight="1" x14ac:dyDescent="0.3">
      <c r="B11" s="68">
        <v>7</v>
      </c>
      <c r="C11" s="4" t="s">
        <v>211</v>
      </c>
      <c r="D11" s="5" t="s">
        <v>212</v>
      </c>
      <c r="E11" s="5" t="s">
        <v>194</v>
      </c>
      <c r="F11" s="68" t="s">
        <v>213</v>
      </c>
      <c r="G11" s="70" t="s">
        <v>200</v>
      </c>
      <c r="H11" s="5" t="s">
        <v>214</v>
      </c>
      <c r="I11" s="49" t="s">
        <v>186</v>
      </c>
    </row>
    <row r="12" spans="2:9" ht="73.5" customHeight="1" x14ac:dyDescent="0.3">
      <c r="B12" s="68">
        <v>8</v>
      </c>
      <c r="C12" s="4" t="s">
        <v>215</v>
      </c>
      <c r="D12" s="5" t="s">
        <v>216</v>
      </c>
      <c r="E12" s="5" t="s">
        <v>217</v>
      </c>
      <c r="F12" s="68" t="s">
        <v>190</v>
      </c>
      <c r="G12" s="69" t="s">
        <v>184</v>
      </c>
      <c r="H12" s="5" t="s">
        <v>218</v>
      </c>
      <c r="I12" s="49" t="s">
        <v>186</v>
      </c>
    </row>
    <row r="13" spans="2:9" ht="73.5" customHeight="1" x14ac:dyDescent="0.3">
      <c r="B13" s="68">
        <v>9</v>
      </c>
      <c r="C13" s="4" t="s">
        <v>219</v>
      </c>
      <c r="D13" s="5" t="s">
        <v>220</v>
      </c>
      <c r="E13" s="5" t="s">
        <v>208</v>
      </c>
      <c r="F13" s="68" t="s">
        <v>183</v>
      </c>
      <c r="G13" s="70" t="s">
        <v>200</v>
      </c>
      <c r="H13" s="5" t="s">
        <v>221</v>
      </c>
      <c r="I13" s="49" t="s">
        <v>186</v>
      </c>
    </row>
    <row r="14" spans="2:9" ht="73.5" customHeight="1" x14ac:dyDescent="0.3">
      <c r="B14" s="68">
        <v>10</v>
      </c>
      <c r="C14" s="4" t="s">
        <v>222</v>
      </c>
      <c r="D14" s="5" t="s">
        <v>223</v>
      </c>
      <c r="E14" s="5" t="s">
        <v>224</v>
      </c>
      <c r="F14" s="68" t="s">
        <v>209</v>
      </c>
      <c r="G14" s="69" t="s">
        <v>184</v>
      </c>
      <c r="H14" s="5" t="s">
        <v>225</v>
      </c>
      <c r="I14" s="49" t="s">
        <v>186</v>
      </c>
    </row>
  </sheetData>
  <dataValidations count="1">
    <dataValidation type="list" allowBlank="1" sqref="I5:I14" xr:uid="{00000000-0002-0000-0600-000000000000}">
      <formula1>"A iniciar,Em andamento,Concluída,Bloqueada"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Leia-me</vt:lpstr>
      <vt:lpstr>Base Mai-Ago</vt:lpstr>
      <vt:lpstr>Diagnóstico</vt:lpstr>
      <vt:lpstr>Parâmetros</vt:lpstr>
      <vt:lpstr>Controle Diário</vt:lpstr>
      <vt:lpstr>Painel Diário</vt:lpstr>
      <vt:lpstr>Plano de 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Saulo Silva - Logística Predilecta</cp:lastModifiedBy>
  <cp:revision>0</cp:revision>
  <dcterms:created xsi:type="dcterms:W3CDTF">2026-09-10T04:44:13Z</dcterms:created>
  <dcterms:modified xsi:type="dcterms:W3CDTF">2026-09-10T19:41:10Z</dcterms:modified>
  <dc:language>en-US</dc:language>
</cp:coreProperties>
</file>